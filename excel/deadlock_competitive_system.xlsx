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oes" sheetId="1" state="visible" r:id="rId1"/>
    <sheet xmlns:r="http://schemas.openxmlformats.org/officeDocument/2006/relationships" name="Ability Tags" sheetId="2" state="visible" r:id="rId2"/>
    <sheet xmlns:r="http://schemas.openxmlformats.org/officeDocument/2006/relationships" name="Role Output" sheetId="3" state="visible" r:id="rId3"/>
    <sheet xmlns:r="http://schemas.openxmlformats.org/officeDocument/2006/relationships" name="Hero Pools" sheetId="4" state="visible" r:id="rId4"/>
    <sheet xmlns:r="http://schemas.openxmlformats.org/officeDocument/2006/relationships" name="Draft Builder"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7" customWidth="1" min="3" max="3"/>
    <col width="25" customWidth="1" min="4" max="4"/>
    <col width="8" customWidth="1" min="5" max="5"/>
    <col width="23" customWidth="1" min="6" max="6"/>
    <col width="22" customWidth="1" min="7" max="7"/>
    <col width="24" customWidth="1" min="8" max="8"/>
    <col width="23" customWidth="1" min="9" max="9"/>
  </cols>
  <sheetData>
    <row r="1">
      <c r="A1" s="1" t="inlineStr">
        <is>
          <t>Hero</t>
        </is>
      </c>
      <c r="B1" s="1" t="inlineStr">
        <is>
          <t>Category</t>
        </is>
      </c>
      <c r="C1" s="1" t="inlineStr">
        <is>
          <t>Baseline Role</t>
        </is>
      </c>
      <c r="D1" s="1" t="inlineStr">
        <is>
          <t>Weapon</t>
        </is>
      </c>
      <c r="E1" s="1" t="inlineStr">
        <is>
          <t>Tier</t>
        </is>
      </c>
      <c r="F1" s="1" t="inlineStr">
        <is>
          <t>A1</t>
        </is>
      </c>
      <c r="G1" s="1" t="inlineStr">
        <is>
          <t>A2</t>
        </is>
      </c>
      <c r="H1" s="1" t="inlineStr">
        <is>
          <t>A3</t>
        </is>
      </c>
      <c r="I1" s="1" t="inlineStr">
        <is>
          <t>A4</t>
        </is>
      </c>
    </row>
    <row r="2">
      <c r="A2" t="inlineStr">
        <is>
          <t>Abrams</t>
        </is>
      </c>
      <c r="B2" t="inlineStr">
        <is>
          <t>Brawler</t>
        </is>
      </c>
      <c r="C2" t="inlineStr">
        <is>
          <t>Tank</t>
        </is>
      </c>
      <c r="D2" t="inlineStr">
        <is>
          <t>Easy Shotgun</t>
        </is>
      </c>
      <c r="E2" t="inlineStr">
        <is>
          <t>B-Tier</t>
        </is>
      </c>
      <c r="F2" t="inlineStr">
        <is>
          <t>Shoulder Charge</t>
        </is>
      </c>
      <c r="G2" t="inlineStr">
        <is>
          <t>Infernal Resilience</t>
        </is>
      </c>
      <c r="H2" t="inlineStr">
        <is>
          <t>Seismic Impact</t>
        </is>
      </c>
      <c r="I2" t="inlineStr">
        <is>
          <t>Siphon Life</t>
        </is>
      </c>
    </row>
    <row r="3">
      <c r="A3" t="inlineStr">
        <is>
          <t>Apollo</t>
        </is>
      </c>
      <c r="B3" t="inlineStr">
        <is>
          <t>Assassin</t>
        </is>
      </c>
      <c r="C3" t="inlineStr">
        <is>
          <t>Off-Carry</t>
        </is>
      </c>
      <c r="D3" t="inlineStr">
        <is>
          <t>Medium Spreadshot</t>
        </is>
      </c>
      <c r="E3" t="inlineStr">
        <is>
          <t>B-Tier</t>
        </is>
      </c>
      <c r="F3" t="inlineStr">
        <is>
          <t>Disengaging Sigil</t>
        </is>
      </c>
      <c r="G3" t="inlineStr">
        <is>
          <t>Riposte</t>
        </is>
      </c>
      <c r="H3" t="inlineStr">
        <is>
          <t>Flawless Advance</t>
        </is>
      </c>
      <c r="I3" t="inlineStr">
        <is>
          <t>Itani Lo Sahn</t>
        </is>
      </c>
    </row>
    <row r="4">
      <c r="A4" t="inlineStr">
        <is>
          <t>Bebop</t>
        </is>
      </c>
      <c r="B4" t="inlineStr">
        <is>
          <t>Brawler</t>
        </is>
      </c>
      <c r="C4" t="inlineStr">
        <is>
          <t>Tank</t>
        </is>
      </c>
      <c r="D4" t="inlineStr">
        <is>
          <t>Medium Beam Weapon</t>
        </is>
      </c>
      <c r="E4" t="inlineStr">
        <is>
          <t>C-Tier</t>
        </is>
      </c>
      <c r="F4" t="inlineStr">
        <is>
          <t>Exploding Uppercut</t>
        </is>
      </c>
      <c r="G4" t="inlineStr">
        <is>
          <t>Sticky Bomb</t>
        </is>
      </c>
      <c r="H4" t="inlineStr">
        <is>
          <t>Hyper Beam</t>
        </is>
      </c>
      <c r="I4" t="inlineStr">
        <is>
          <t>Grapple Arm</t>
        </is>
      </c>
    </row>
    <row r="5">
      <c r="A5" t="inlineStr">
        <is>
          <t>Billy</t>
        </is>
      </c>
      <c r="B5" t="inlineStr">
        <is>
          <t>Brawler</t>
        </is>
      </c>
      <c r="C5" t="inlineStr">
        <is>
          <t>Tank</t>
        </is>
      </c>
      <c r="D5" t="inlineStr">
        <is>
          <t>Hard Close Range</t>
        </is>
      </c>
      <c r="E5" t="inlineStr">
        <is>
          <t>C-Tier</t>
        </is>
      </c>
      <c r="F5" t="inlineStr">
        <is>
          <t>Blasted</t>
        </is>
      </c>
      <c r="G5" t="inlineStr">
        <is>
          <t>Chain Gang</t>
        </is>
      </c>
      <c r="H5" t="inlineStr">
        <is>
          <t>Rising Ram</t>
        </is>
      </c>
      <c r="I5" t="inlineStr">
        <is>
          <t>Bashdown</t>
        </is>
      </c>
    </row>
    <row r="6">
      <c r="A6" t="inlineStr">
        <is>
          <t>Calico</t>
        </is>
      </c>
      <c r="B6" t="inlineStr">
        <is>
          <t>Assassin</t>
        </is>
      </c>
      <c r="C6" t="inlineStr">
        <is>
          <t>Off-Carry</t>
        </is>
      </c>
      <c r="D6" t="inlineStr">
        <is>
          <t>Medium Spreadshot</t>
        </is>
      </c>
      <c r="E6" t="inlineStr">
        <is>
          <t>S-Tier</t>
        </is>
      </c>
      <c r="F6" t="inlineStr">
        <is>
          <t>Ava</t>
        </is>
      </c>
      <c r="G6" t="inlineStr">
        <is>
          <t>Gloom Bombs</t>
        </is>
      </c>
      <c r="H6" t="inlineStr">
        <is>
          <t>Return to Shadows</t>
        </is>
      </c>
      <c r="I6" t="inlineStr">
        <is>
          <t>Leaping Slash</t>
        </is>
      </c>
    </row>
    <row r="7">
      <c r="A7" t="inlineStr">
        <is>
          <t>Celeste</t>
        </is>
      </c>
      <c r="B7" t="inlineStr">
        <is>
          <t>Marksman</t>
        </is>
      </c>
      <c r="C7" t="inlineStr">
        <is>
          <t>Off-Carry</t>
        </is>
      </c>
      <c r="D7" t="inlineStr">
        <is>
          <t>Medium Burst Fire</t>
        </is>
      </c>
      <c r="E7" t="inlineStr">
        <is>
          <t>C-Tier</t>
        </is>
      </c>
      <c r="F7" t="inlineStr">
        <is>
          <t>Light Eater</t>
        </is>
      </c>
      <c r="G7" t="inlineStr">
        <is>
          <t>Dazzling Trick</t>
        </is>
      </c>
      <c r="H7" t="inlineStr">
        <is>
          <t>Shining Wonder</t>
        </is>
      </c>
      <c r="I7" t="inlineStr">
        <is>
          <t>Radiant Daggers</t>
        </is>
      </c>
    </row>
    <row r="8">
      <c r="A8" t="inlineStr">
        <is>
          <t>Doorman</t>
        </is>
      </c>
      <c r="B8" t="inlineStr">
        <is>
          <t>Doorman</t>
        </is>
      </c>
      <c r="C8" t="inlineStr">
        <is>
          <t>Support</t>
        </is>
      </c>
      <c r="D8" t="inlineStr">
        <is>
          <t>Mystic Easy Pistol</t>
        </is>
      </c>
      <c r="E8" t="inlineStr">
        <is>
          <t>A-Tier</t>
        </is>
      </c>
      <c r="F8" t="inlineStr">
        <is>
          <t>Doorway</t>
        </is>
      </c>
      <c r="G8" t="inlineStr">
        <is>
          <t>Luggage Cart</t>
        </is>
      </c>
      <c r="H8" t="inlineStr">
        <is>
          <t>Call Bell</t>
        </is>
      </c>
      <c r="I8" t="inlineStr">
        <is>
          <t>Hotel Guest</t>
        </is>
      </c>
    </row>
    <row r="9">
      <c r="A9" t="inlineStr">
        <is>
          <t>Drifter</t>
        </is>
      </c>
      <c r="B9" t="inlineStr">
        <is>
          <t>Assassin</t>
        </is>
      </c>
      <c r="C9" t="inlineStr">
        <is>
          <t>Hybrid</t>
        </is>
      </c>
      <c r="D9" t="inlineStr">
        <is>
          <t>Hard Spreadshot</t>
        </is>
      </c>
      <c r="E9" t="inlineStr">
        <is>
          <t>B-Tier</t>
        </is>
      </c>
      <c r="F9" t="inlineStr">
        <is>
          <t>Rend</t>
        </is>
      </c>
      <c r="G9" t="inlineStr">
        <is>
          <t>Stalker's Mark</t>
        </is>
      </c>
      <c r="H9" t="inlineStr">
        <is>
          <t>Bloodscent</t>
        </is>
      </c>
      <c r="I9" t="inlineStr">
        <is>
          <t>Eternal Night</t>
        </is>
      </c>
    </row>
    <row r="10">
      <c r="A10" t="inlineStr">
        <is>
          <t>Dynamo</t>
        </is>
      </c>
      <c r="B10" t="inlineStr">
        <is>
          <t>Mystic</t>
        </is>
      </c>
      <c r="C10" t="inlineStr">
        <is>
          <t>Support</t>
        </is>
      </c>
      <c r="D10" t="inlineStr">
        <is>
          <t>Medium Pistol</t>
        </is>
      </c>
      <c r="E10" t="inlineStr">
        <is>
          <t>A-Tier</t>
        </is>
      </c>
      <c r="F10" t="inlineStr">
        <is>
          <t>Kinetic Pulse</t>
        </is>
      </c>
      <c r="G10" t="inlineStr">
        <is>
          <t>Quantum Entanglement</t>
        </is>
      </c>
      <c r="H10" t="inlineStr">
        <is>
          <t>Rejuvenating Aurora</t>
        </is>
      </c>
      <c r="I10" t="inlineStr">
        <is>
          <t>Singularity</t>
        </is>
      </c>
    </row>
    <row r="11">
      <c r="A11" t="inlineStr">
        <is>
          <t>Graves</t>
        </is>
      </c>
      <c r="B11" t="inlineStr">
        <is>
          <t>Marksman</t>
        </is>
      </c>
      <c r="C11" t="inlineStr">
        <is>
          <t>Hybrid</t>
        </is>
      </c>
      <c r="D11" t="inlineStr">
        <is>
          <t>Medium Pistol</t>
        </is>
      </c>
      <c r="E11" t="inlineStr">
        <is>
          <t>A-Tier</t>
        </is>
      </c>
      <c r="F11" t="inlineStr">
        <is>
          <t>Grasping Hands</t>
        </is>
      </c>
      <c r="G11" t="inlineStr">
        <is>
          <t>Jar of Dead</t>
        </is>
      </c>
      <c r="H11" t="inlineStr">
        <is>
          <t>Borrowed Decree</t>
        </is>
      </c>
      <c r="I11" t="inlineStr">
        <is>
          <t>Essence Theft</t>
        </is>
      </c>
    </row>
    <row r="12">
      <c r="A12" t="inlineStr">
        <is>
          <t>Grey Talon</t>
        </is>
      </c>
      <c r="B12" t="inlineStr">
        <is>
          <t>Marksman</t>
        </is>
      </c>
      <c r="C12" t="inlineStr">
        <is>
          <t>Off-Carry</t>
        </is>
      </c>
      <c r="D12" t="inlineStr">
        <is>
          <t>Medium Bow</t>
        </is>
      </c>
      <c r="E12" t="inlineStr">
        <is>
          <t>C-Tier</t>
        </is>
      </c>
      <c r="F12" t="inlineStr">
        <is>
          <t>Charged Shot</t>
        </is>
      </c>
      <c r="G12" t="inlineStr">
        <is>
          <t>Rain of Arrows</t>
        </is>
      </c>
      <c r="H12" t="inlineStr">
        <is>
          <t>Spirit Snare</t>
        </is>
      </c>
      <c r="I12" t="inlineStr">
        <is>
          <t>Guided Owl</t>
        </is>
      </c>
    </row>
    <row r="13">
      <c r="A13" t="inlineStr">
        <is>
          <t>Haze</t>
        </is>
      </c>
      <c r="B13" t="inlineStr">
        <is>
          <t>Assassin</t>
        </is>
      </c>
      <c r="C13" t="inlineStr">
        <is>
          <t>Initiator/Catch</t>
        </is>
      </c>
      <c r="D13" t="inlineStr">
        <is>
          <t>Easy Rapid Fire</t>
        </is>
      </c>
      <c r="E13" t="inlineStr">
        <is>
          <t>S-Tier</t>
        </is>
      </c>
      <c r="F13" t="inlineStr">
        <is>
          <t>Sleep Dagger</t>
        </is>
      </c>
      <c r="G13" t="inlineStr">
        <is>
          <t>Smoke Bomb</t>
        </is>
      </c>
      <c r="H13" t="inlineStr">
        <is>
          <t>Fixation</t>
        </is>
      </c>
      <c r="I13" t="inlineStr">
        <is>
          <t>Bullet Dance</t>
        </is>
      </c>
    </row>
    <row r="14">
      <c r="A14" t="inlineStr">
        <is>
          <t>Holliday</t>
        </is>
      </c>
      <c r="B14" t="inlineStr">
        <is>
          <t>Marksman</t>
        </is>
      </c>
      <c r="C14" t="inlineStr">
        <is>
          <t>Initiator/Catch</t>
        </is>
      </c>
      <c r="D14" t="inlineStr">
        <is>
          <t>Hard Pistol</t>
        </is>
      </c>
      <c r="E14" t="inlineStr">
        <is>
          <t>D-Tier</t>
        </is>
      </c>
      <c r="F14" t="inlineStr">
        <is>
          <t>Powder Keg</t>
        </is>
      </c>
      <c r="G14" t="inlineStr">
        <is>
          <t>Bounce Pad</t>
        </is>
      </c>
      <c r="H14" t="inlineStr">
        <is>
          <t>Spirit Lasso</t>
        </is>
      </c>
      <c r="I14" t="inlineStr">
        <is>
          <t>Crackshot</t>
        </is>
      </c>
    </row>
    <row r="15">
      <c r="A15" t="inlineStr">
        <is>
          <t>Infernus</t>
        </is>
      </c>
      <c r="B15" t="inlineStr">
        <is>
          <t>Marksman</t>
        </is>
      </c>
      <c r="C15" t="inlineStr">
        <is>
          <t>Off-Carry</t>
        </is>
      </c>
      <c r="D15" t="inlineStr">
        <is>
          <t>Easy Rapid Fire</t>
        </is>
      </c>
      <c r="E15" t="inlineStr">
        <is>
          <t>B-Tier</t>
        </is>
      </c>
      <c r="F15" t="inlineStr">
        <is>
          <t>Concussive Combustion</t>
        </is>
      </c>
      <c r="G15" t="inlineStr">
        <is>
          <t>Flame Dash</t>
        </is>
      </c>
      <c r="H15" t="inlineStr">
        <is>
          <t>Napalm</t>
        </is>
      </c>
      <c r="I15" t="inlineStr">
        <is>
          <t>Afterburn</t>
        </is>
      </c>
    </row>
    <row r="16">
      <c r="A16" t="inlineStr">
        <is>
          <t>Ivy</t>
        </is>
      </c>
      <c r="B16" t="inlineStr">
        <is>
          <t>Marksman</t>
        </is>
      </c>
      <c r="C16" t="inlineStr">
        <is>
          <t>Hybrid</t>
        </is>
      </c>
      <c r="D16" t="inlineStr">
        <is>
          <t>Hard Rapid Fire</t>
        </is>
      </c>
      <c r="E16" t="inlineStr">
        <is>
          <t>C-Tier</t>
        </is>
      </c>
      <c r="F16" t="inlineStr">
        <is>
          <t>Watcher's Covenant</t>
        </is>
      </c>
      <c r="G16" t="inlineStr">
        <is>
          <t>Kudzu Bomb</t>
        </is>
      </c>
      <c r="H16" t="inlineStr">
        <is>
          <t>Stone Form</t>
        </is>
      </c>
      <c r="I16" t="inlineStr">
        <is>
          <t>Air Drop</t>
        </is>
      </c>
    </row>
    <row r="17">
      <c r="A17" t="inlineStr">
        <is>
          <t>Kelvin</t>
        </is>
      </c>
      <c r="B17" t="inlineStr">
        <is>
          <t>Brawler</t>
        </is>
      </c>
      <c r="C17" t="inlineStr">
        <is>
          <t>Support</t>
        </is>
      </c>
      <c r="D17" t="inlineStr">
        <is>
          <t>Medium Heavy Hitter</t>
        </is>
      </c>
      <c r="E17" t="inlineStr">
        <is>
          <t>B-Tier</t>
        </is>
      </c>
      <c r="F17" t="inlineStr">
        <is>
          <t>Arctic Beam</t>
        </is>
      </c>
      <c r="G17" t="inlineStr">
        <is>
          <t>Ice Path</t>
        </is>
      </c>
      <c r="H17" t="inlineStr">
        <is>
          <t>Frost Grenade</t>
        </is>
      </c>
      <c r="I17" t="inlineStr">
        <is>
          <t>Frozen Shelter</t>
        </is>
      </c>
    </row>
    <row r="18">
      <c r="A18" t="inlineStr">
        <is>
          <t>Lady Geist</t>
        </is>
      </c>
      <c r="B18" t="inlineStr">
        <is>
          <t>Mystic</t>
        </is>
      </c>
      <c r="C18" t="inlineStr">
        <is>
          <t>Comfort</t>
        </is>
      </c>
      <c r="D18" t="inlineStr">
        <is>
          <t>Medium Pistol</t>
        </is>
      </c>
      <c r="E18" t="inlineStr">
        <is>
          <t>A-Tier</t>
        </is>
      </c>
      <c r="F18" t="inlineStr">
        <is>
          <t>Essence Bomb</t>
        </is>
      </c>
      <c r="G18" t="inlineStr">
        <is>
          <t>Malice</t>
        </is>
      </c>
      <c r="H18" t="inlineStr">
        <is>
          <t>Life Drain</t>
        </is>
      </c>
      <c r="I18" t="inlineStr">
        <is>
          <t>Soul Exchange</t>
        </is>
      </c>
    </row>
    <row r="19">
      <c r="A19" t="inlineStr">
        <is>
          <t>Lash</t>
        </is>
      </c>
      <c r="B19" t="inlineStr">
        <is>
          <t>Assassin</t>
        </is>
      </c>
      <c r="C19" t="inlineStr">
        <is>
          <t>Off-Carry</t>
        </is>
      </c>
      <c r="D19" t="inlineStr">
        <is>
          <t>Hard Burst Fire</t>
        </is>
      </c>
      <c r="E19" t="inlineStr">
        <is>
          <t>B-Tier</t>
        </is>
      </c>
      <c r="F19" t="inlineStr">
        <is>
          <t>Grapple</t>
        </is>
      </c>
      <c r="G19" t="inlineStr">
        <is>
          <t>Ground Strike</t>
        </is>
      </c>
      <c r="H19" t="inlineStr">
        <is>
          <t>Death Slam</t>
        </is>
      </c>
      <c r="I19" t="inlineStr">
        <is>
          <t>Flog</t>
        </is>
      </c>
    </row>
    <row r="20">
      <c r="A20" t="inlineStr">
        <is>
          <t>McGinnis</t>
        </is>
      </c>
      <c r="B20" t="inlineStr">
        <is>
          <t>Mystic</t>
        </is>
      </c>
      <c r="C20" t="inlineStr">
        <is>
          <t>Hybrid</t>
        </is>
      </c>
      <c r="D20" t="inlineStr">
        <is>
          <t>Easy Heavy Artillery</t>
        </is>
      </c>
      <c r="E20" t="inlineStr">
        <is>
          <t>S-Tier</t>
        </is>
      </c>
      <c r="F20" t="inlineStr">
        <is>
          <t>Medicinal Specter</t>
        </is>
      </c>
      <c r="G20" t="inlineStr">
        <is>
          <t>Mini Turret</t>
        </is>
      </c>
      <c r="H20" t="inlineStr">
        <is>
          <t>Spectral Wall</t>
        </is>
      </c>
      <c r="I20" t="inlineStr">
        <is>
          <t>Heavy Barrage</t>
        </is>
      </c>
    </row>
    <row r="21">
      <c r="A21" t="inlineStr">
        <is>
          <t>Mina</t>
        </is>
      </c>
      <c r="B21" t="inlineStr">
        <is>
          <t>Marksman</t>
        </is>
      </c>
      <c r="C21" t="inlineStr">
        <is>
          <t>Off-Carry</t>
        </is>
      </c>
      <c r="D21" t="inlineStr">
        <is>
          <t>Hard Pistol</t>
        </is>
      </c>
      <c r="E21" t="inlineStr">
        <is>
          <t>C-Tier</t>
        </is>
      </c>
      <c r="F21" t="inlineStr">
        <is>
          <t>Sanguine Retreat</t>
        </is>
      </c>
      <c r="G21" t="inlineStr">
        <is>
          <t>Love Bites</t>
        </is>
      </c>
      <c r="H21" t="inlineStr">
        <is>
          <t>Nox Nostra</t>
        </is>
      </c>
      <c r="I21" t="inlineStr">
        <is>
          <t>Rake</t>
        </is>
      </c>
    </row>
    <row r="22">
      <c r="A22" t="inlineStr">
        <is>
          <t>Mirage</t>
        </is>
      </c>
      <c r="B22" t="inlineStr">
        <is>
          <t>Assassin</t>
        </is>
      </c>
      <c r="C22" t="inlineStr">
        <is>
          <t>Carry</t>
        </is>
      </c>
      <c r="D22" t="inlineStr">
        <is>
          <t>Medium Pistol</t>
        </is>
      </c>
      <c r="E22" t="inlineStr">
        <is>
          <t>D-Tier</t>
        </is>
      </c>
      <c r="F22" t="inlineStr">
        <is>
          <t>Tornado</t>
        </is>
      </c>
      <c r="G22" t="inlineStr">
        <is>
          <t>Djinn's Mark</t>
        </is>
      </c>
      <c r="H22" t="inlineStr">
        <is>
          <t>Fire Scarabs</t>
        </is>
      </c>
      <c r="I22" t="inlineStr">
        <is>
          <t>Traveler</t>
        </is>
      </c>
    </row>
    <row r="23">
      <c r="A23" t="inlineStr">
        <is>
          <t>Mo &amp; Krill</t>
        </is>
      </c>
      <c r="B23" t="inlineStr">
        <is>
          <t>Krill</t>
        </is>
      </c>
      <c r="C23" t="inlineStr">
        <is>
          <t>Support</t>
        </is>
      </c>
      <c r="D23" t="inlineStr">
        <is>
          <t>Brawler Hard Spreadshot</t>
        </is>
      </c>
      <c r="E23" t="inlineStr">
        <is>
          <t>A-Tier</t>
        </is>
      </c>
      <c r="F23" t="inlineStr">
        <is>
          <t>Scorn</t>
        </is>
      </c>
      <c r="G23" t="inlineStr">
        <is>
          <t>Burrow</t>
        </is>
      </c>
      <c r="H23" t="inlineStr">
        <is>
          <t>Sand Blast</t>
        </is>
      </c>
      <c r="I23" t="inlineStr">
        <is>
          <t>Combo</t>
        </is>
      </c>
    </row>
    <row r="24">
      <c r="A24" t="inlineStr">
        <is>
          <t>Paige</t>
        </is>
      </c>
      <c r="B24" t="inlineStr">
        <is>
          <t>Mystic</t>
        </is>
      </c>
      <c r="C24" t="inlineStr">
        <is>
          <t>Support</t>
        </is>
      </c>
      <c r="D24" t="inlineStr">
        <is>
          <t>Easy Projectile</t>
        </is>
      </c>
      <c r="E24" t="inlineStr">
        <is>
          <t>S-Tier</t>
        </is>
      </c>
      <c r="F24" t="inlineStr">
        <is>
          <t>Conjure Dragon</t>
        </is>
      </c>
      <c r="G24" t="inlineStr">
        <is>
          <t>Captivating Read</t>
        </is>
      </c>
      <c r="H24" t="inlineStr">
        <is>
          <t>Defend and Fight!</t>
        </is>
      </c>
      <c r="I24" t="inlineStr">
        <is>
          <t>Rallying Charge</t>
        </is>
      </c>
    </row>
    <row r="25">
      <c r="A25" t="inlineStr">
        <is>
          <t>Paradox</t>
        </is>
      </c>
      <c r="B25" t="inlineStr">
        <is>
          <t>Marksman</t>
        </is>
      </c>
      <c r="C25" t="inlineStr">
        <is>
          <t>Initiator/Catch</t>
        </is>
      </c>
      <c r="D25" t="inlineStr">
        <is>
          <t>Hard Burst Fire</t>
        </is>
      </c>
      <c r="E25" t="inlineStr">
        <is>
          <t>C-Tier</t>
        </is>
      </c>
      <c r="F25" t="inlineStr">
        <is>
          <t>Pulse Grenade</t>
        </is>
      </c>
      <c r="G25" t="inlineStr">
        <is>
          <t>Time Wall</t>
        </is>
      </c>
      <c r="H25" t="inlineStr">
        <is>
          <t>Kinetic Carbine</t>
        </is>
      </c>
      <c r="I25" t="inlineStr">
        <is>
          <t>Paradoxical Swap</t>
        </is>
      </c>
    </row>
    <row r="26">
      <c r="A26" t="inlineStr">
        <is>
          <t>Pocket</t>
        </is>
      </c>
      <c r="B26" t="inlineStr">
        <is>
          <t>Assassin</t>
        </is>
      </c>
      <c r="C26" t="inlineStr">
        <is>
          <t>Off-Carry</t>
        </is>
      </c>
      <c r="D26" t="inlineStr">
        <is>
          <t>Medium Spreadshot</t>
        </is>
      </c>
      <c r="E26" t="inlineStr">
        <is>
          <t>B-Tier</t>
        </is>
      </c>
      <c r="F26" t="inlineStr">
        <is>
          <t>Flying Cloak</t>
        </is>
      </c>
      <c r="G26" t="inlineStr">
        <is>
          <t>Enchanter's Satchel</t>
        </is>
      </c>
      <c r="H26" t="inlineStr">
        <is>
          <t>Barrage</t>
        </is>
      </c>
      <c r="I26" t="inlineStr">
        <is>
          <t>Affliction</t>
        </is>
      </c>
    </row>
    <row r="27">
      <c r="A27" t="inlineStr">
        <is>
          <t>Rem</t>
        </is>
      </c>
      <c r="B27" t="inlineStr">
        <is>
          <t>Heroes</t>
        </is>
      </c>
      <c r="C27" t="inlineStr">
        <is>
          <t>Support</t>
        </is>
      </c>
      <c r="D27" t="inlineStr">
        <is>
          <t>Hard</t>
        </is>
      </c>
      <c r="E27" t="inlineStr">
        <is>
          <t>B-Tier</t>
        </is>
      </c>
      <c r="F27" t="inlineStr">
        <is>
          <t>Pillow Toss</t>
        </is>
      </c>
      <c r="G27" t="inlineStr">
        <is>
          <t>Naptime</t>
        </is>
      </c>
      <c r="H27" t="inlineStr">
        <is>
          <t>Lil Helpers</t>
        </is>
      </c>
      <c r="I27" t="inlineStr">
        <is>
          <t>Tag Along</t>
        </is>
      </c>
    </row>
    <row r="28">
      <c r="A28" t="inlineStr">
        <is>
          <t>Seven</t>
        </is>
      </c>
      <c r="B28" t="inlineStr">
        <is>
          <t>Mystic</t>
        </is>
      </c>
      <c r="C28" t="inlineStr">
        <is>
          <t>Carry</t>
        </is>
      </c>
      <c r="D28" t="inlineStr">
        <is>
          <t>Easy Burst Fire</t>
        </is>
      </c>
      <c r="E28" t="inlineStr">
        <is>
          <t>S-Tier</t>
        </is>
      </c>
      <c r="F28" t="inlineStr">
        <is>
          <t>Lightning Ball</t>
        </is>
      </c>
      <c r="G28" t="inlineStr">
        <is>
          <t>Static Charge</t>
        </is>
      </c>
      <c r="H28" t="inlineStr">
        <is>
          <t>Power Surge</t>
        </is>
      </c>
      <c r="I28" t="inlineStr">
        <is>
          <t>Storm Cloud</t>
        </is>
      </c>
    </row>
    <row r="29">
      <c r="A29" t="inlineStr">
        <is>
          <t>Shiv</t>
        </is>
      </c>
      <c r="B29" t="inlineStr">
        <is>
          <t>Brawler</t>
        </is>
      </c>
      <c r="C29" t="inlineStr">
        <is>
          <t>Tank</t>
        </is>
      </c>
      <c r="D29" t="inlineStr">
        <is>
          <t>Hard Spreadshot</t>
        </is>
      </c>
      <c r="E29" t="inlineStr">
        <is>
          <t>D-Tier</t>
        </is>
      </c>
      <c r="F29" t="inlineStr">
        <is>
          <t>Serrated Knives</t>
        </is>
      </c>
      <c r="G29" t="inlineStr">
        <is>
          <t>Slice and Dice</t>
        </is>
      </c>
      <c r="H29" t="inlineStr">
        <is>
          <t>Bloodletting</t>
        </is>
      </c>
      <c r="I29" t="inlineStr">
        <is>
          <t>Killing Blow</t>
        </is>
      </c>
    </row>
    <row r="30">
      <c r="A30" t="inlineStr">
        <is>
          <t>Silver</t>
        </is>
      </c>
      <c r="B30" t="inlineStr">
        <is>
          <t>Marksman</t>
        </is>
      </c>
      <c r="C30" t="inlineStr">
        <is>
          <t>Tank</t>
        </is>
      </c>
      <c r="D30" t="inlineStr">
        <is>
          <t>Easy Long Range</t>
        </is>
      </c>
      <c r="E30" t="inlineStr">
        <is>
          <t>C-Tier</t>
        </is>
      </c>
      <c r="F30" t="inlineStr">
        <is>
          <t>Slam Fire</t>
        </is>
      </c>
      <c r="G30" t="inlineStr">
        <is>
          <t>Boot Kick</t>
        </is>
      </c>
      <c r="H30" t="inlineStr">
        <is>
          <t>Entangling Bola</t>
        </is>
      </c>
      <c r="I30" t="inlineStr">
        <is>
          <t>Lycan Curse</t>
        </is>
      </c>
    </row>
    <row r="31">
      <c r="A31" t="inlineStr">
        <is>
          <t>Sinclair</t>
        </is>
      </c>
      <c r="B31" t="inlineStr">
        <is>
          <t>Mystic</t>
        </is>
      </c>
      <c r="C31" t="inlineStr">
        <is>
          <t>Support</t>
        </is>
      </c>
      <c r="D31" t="inlineStr">
        <is>
          <t>Expert Burst Fire</t>
        </is>
      </c>
      <c r="E31" t="inlineStr">
        <is>
          <t>D-Tier</t>
        </is>
      </c>
      <c r="F31" t="inlineStr">
        <is>
          <t>Vexing Bolt</t>
        </is>
      </c>
      <c r="G31" t="inlineStr">
        <is>
          <t>Spectral Assistant</t>
        </is>
      </c>
      <c r="H31" t="inlineStr">
        <is>
          <t>Audience Participation</t>
        </is>
      </c>
      <c r="I31" t="inlineStr">
        <is>
          <t>Rabbit Hex</t>
        </is>
      </c>
    </row>
    <row r="32">
      <c r="A32" t="inlineStr">
        <is>
          <t>Venator</t>
        </is>
      </c>
      <c r="B32" t="inlineStr">
        <is>
          <t>Marksman</t>
        </is>
      </c>
      <c r="C32" t="inlineStr">
        <is>
          <t>Carry</t>
        </is>
      </c>
      <c r="D32" t="inlineStr">
        <is>
          <t>Medium Crossbow</t>
        </is>
      </c>
      <c r="E32" t="inlineStr">
        <is>
          <t>B-Tier</t>
        </is>
      </c>
      <c r="F32" t="inlineStr">
        <is>
          <t>Gutshot</t>
        </is>
      </c>
      <c r="G32" t="inlineStr">
        <is>
          <t>Ira Domini</t>
        </is>
      </c>
      <c r="H32" t="inlineStr">
        <is>
          <t>Consecrating Grenade</t>
        </is>
      </c>
      <c r="I32" t="inlineStr">
        <is>
          <t>Hex-Lined Snap Trap</t>
        </is>
      </c>
    </row>
    <row r="33">
      <c r="A33" t="inlineStr">
        <is>
          <t>Victor</t>
        </is>
      </c>
      <c r="B33" t="inlineStr">
        <is>
          <t>Brawler</t>
        </is>
      </c>
      <c r="C33" t="inlineStr">
        <is>
          <t>Hybrid</t>
        </is>
      </c>
      <c r="D33" t="inlineStr">
        <is>
          <t>Medium Pistol</t>
        </is>
      </c>
      <c r="E33" t="inlineStr">
        <is>
          <t>S-Tier</t>
        </is>
      </c>
      <c r="F33" t="inlineStr">
        <is>
          <t>Jumpstart</t>
        </is>
      </c>
      <c r="G33" t="inlineStr">
        <is>
          <t>Aura of Suffering</t>
        </is>
      </c>
      <c r="H33" t="inlineStr">
        <is>
          <t>Shocking Reanimation</t>
        </is>
      </c>
      <c r="I33" t="inlineStr">
        <is>
          <t>Pain Battery</t>
        </is>
      </c>
    </row>
    <row r="34">
      <c r="A34" t="inlineStr">
        <is>
          <t>Vindicta</t>
        </is>
      </c>
      <c r="B34" t="inlineStr">
        <is>
          <t>Marksman</t>
        </is>
      </c>
      <c r="C34" t="inlineStr">
        <is>
          <t>Off-Carry</t>
        </is>
      </c>
      <c r="D34" t="inlineStr">
        <is>
          <t>Easy Long Range</t>
        </is>
      </c>
      <c r="E34" t="inlineStr">
        <is>
          <t>B-Tier</t>
        </is>
      </c>
      <c r="F34" t="inlineStr">
        <is>
          <t>Stake</t>
        </is>
      </c>
      <c r="G34" t="inlineStr">
        <is>
          <t>Flight</t>
        </is>
      </c>
      <c r="H34" t="inlineStr">
        <is>
          <t>Crow Familiar</t>
        </is>
      </c>
      <c r="I34" t="inlineStr">
        <is>
          <t>Assassinate</t>
        </is>
      </c>
    </row>
    <row r="35">
      <c r="A35" t="inlineStr">
        <is>
          <t>Viscous</t>
        </is>
      </c>
      <c r="B35" t="inlineStr">
        <is>
          <t>Mystic</t>
        </is>
      </c>
      <c r="C35" t="inlineStr">
        <is>
          <t>Hybrid</t>
        </is>
      </c>
      <c r="D35" t="inlineStr">
        <is>
          <t>Medium Projectile</t>
        </is>
      </c>
      <c r="E35" t="inlineStr">
        <is>
          <t>A-Tier</t>
        </is>
      </c>
      <c r="F35" t="inlineStr">
        <is>
          <t>Splatter</t>
        </is>
      </c>
      <c r="G35" t="inlineStr">
        <is>
          <t>The Cube</t>
        </is>
      </c>
      <c r="H35" t="inlineStr">
        <is>
          <t>Goo Ball</t>
        </is>
      </c>
      <c r="I35" t="inlineStr">
        <is>
          <t>Puddle Punch</t>
        </is>
      </c>
    </row>
    <row r="36">
      <c r="A36" t="inlineStr">
        <is>
          <t>Vyper</t>
        </is>
      </c>
      <c r="B36" t="inlineStr">
        <is>
          <t>Assassin</t>
        </is>
      </c>
      <c r="C36" t="inlineStr">
        <is>
          <t>Hybrid</t>
        </is>
      </c>
      <c r="D36" t="inlineStr">
        <is>
          <t>Easy Rapid Fire</t>
        </is>
      </c>
      <c r="E36" t="inlineStr">
        <is>
          <t>C-Tier</t>
        </is>
      </c>
      <c r="F36" t="inlineStr">
        <is>
          <t>Slither</t>
        </is>
      </c>
      <c r="G36" t="inlineStr">
        <is>
          <t>Lethal Venom</t>
        </is>
      </c>
      <c r="H36" t="inlineStr">
        <is>
          <t>Screwjab Dagger</t>
        </is>
      </c>
      <c r="I36" t="inlineStr">
        <is>
          <t>Petrifying Bola</t>
        </is>
      </c>
    </row>
    <row r="37">
      <c r="A37" t="inlineStr">
        <is>
          <t>Warden</t>
        </is>
      </c>
      <c r="B37" t="inlineStr">
        <is>
          <t>Brawler</t>
        </is>
      </c>
      <c r="C37" t="inlineStr">
        <is>
          <t>Carry</t>
        </is>
      </c>
      <c r="D37" t="inlineStr">
        <is>
          <t>Medium Heavy Hitter</t>
        </is>
      </c>
      <c r="E37" t="inlineStr">
        <is>
          <t>B-Tier</t>
        </is>
      </c>
      <c r="F37" t="inlineStr">
        <is>
          <t>Binding Word</t>
        </is>
      </c>
      <c r="G37" t="inlineStr">
        <is>
          <t>Willpower</t>
        </is>
      </c>
      <c r="H37" t="inlineStr">
        <is>
          <t>Alchemical Flask</t>
        </is>
      </c>
      <c r="I37" t="inlineStr">
        <is>
          <t>Last Stand</t>
        </is>
      </c>
    </row>
    <row r="38">
      <c r="A38" t="inlineStr">
        <is>
          <t>Wraith</t>
        </is>
      </c>
      <c r="B38" t="inlineStr">
        <is>
          <t>Marksman</t>
        </is>
      </c>
      <c r="C38" t="inlineStr">
        <is>
          <t>Carry</t>
        </is>
      </c>
      <c r="D38" t="inlineStr">
        <is>
          <t>Easy Rapid Fire</t>
        </is>
      </c>
      <c r="E38" t="inlineStr">
        <is>
          <t>A-Tier</t>
        </is>
      </c>
      <c r="F38" t="inlineStr">
        <is>
          <t>Telekinesis</t>
        </is>
      </c>
      <c r="G38" t="inlineStr">
        <is>
          <t>Project Mind</t>
        </is>
      </c>
      <c r="H38" t="inlineStr">
        <is>
          <t>Full Auto</t>
        </is>
      </c>
      <c r="I38" t="inlineStr">
        <is>
          <t>Card Trick</t>
        </is>
      </c>
    </row>
    <row r="39">
      <c r="A39" t="inlineStr">
        <is>
          <t>Yamato</t>
        </is>
      </c>
      <c r="B39" t="inlineStr">
        <is>
          <t>Assassin</t>
        </is>
      </c>
      <c r="C39" t="inlineStr">
        <is>
          <t>Off-Carry</t>
        </is>
      </c>
      <c r="D39" t="inlineStr">
        <is>
          <t>Hard Spreadshot</t>
        </is>
      </c>
      <c r="E39" t="inlineStr">
        <is>
          <t>B-Tier</t>
        </is>
      </c>
      <c r="F39" t="inlineStr">
        <is>
          <t>Power Slash</t>
        </is>
      </c>
      <c r="G39" t="inlineStr">
        <is>
          <t>Flying Strike</t>
        </is>
      </c>
      <c r="H39" t="inlineStr">
        <is>
          <t>Crimson Slash</t>
        </is>
      </c>
      <c r="I39" t="inlineStr">
        <is>
          <t>Shadow Transformation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9" customWidth="1" min="3" max="3"/>
    <col width="11" customWidth="1" min="4" max="4"/>
    <col width="42" customWidth="1" min="5" max="5"/>
  </cols>
  <sheetData>
    <row r="1">
      <c r="A1" s="1" t="inlineStr">
        <is>
          <t>Hero</t>
        </is>
      </c>
      <c r="B1" s="1" t="inlineStr">
        <is>
          <t>Ability</t>
        </is>
      </c>
      <c r="C1" s="1" t="inlineStr">
        <is>
          <t>Tag</t>
        </is>
      </c>
      <c r="D1" s="1" t="inlineStr">
        <is>
          <t>Tag Group</t>
        </is>
      </c>
      <c r="E1" s="1" t="inlineStr">
        <is>
          <t>Description</t>
        </is>
      </c>
    </row>
    <row r="2">
      <c r="A2" t="inlineStr">
        <is>
          <t>Abrams</t>
        </is>
      </c>
      <c r="B2" t="inlineStr">
        <is>
          <t>Shoulder Charge</t>
        </is>
      </c>
      <c r="C2" t="inlineStr">
        <is>
          <t>Engage</t>
        </is>
      </c>
      <c r="D2" t="inlineStr">
        <is>
          <t>Pick</t>
        </is>
      </c>
      <c r="E2" t="inlineStr">
        <is>
          <t>Charge forward,  pulling enemies you hit. Pushing a hero into a wall applies  stun. If you collide with a hero you move faster during your charge.</t>
        </is>
      </c>
    </row>
    <row r="3">
      <c r="A3" t="inlineStr">
        <is>
          <t>Abrams</t>
        </is>
      </c>
      <c r="B3" t="inlineStr">
        <is>
          <t>Shoulder Charge</t>
        </is>
      </c>
      <c r="C3" t="inlineStr">
        <is>
          <t>Pick</t>
        </is>
      </c>
      <c r="D3" t="inlineStr">
        <is>
          <t>Pick</t>
        </is>
      </c>
      <c r="E3" t="inlineStr">
        <is>
          <t>Charge forward,  pulling enemies you hit. Pushing a hero into a wall applies  stun. If you collide with a hero you move faster during your charge.</t>
        </is>
      </c>
    </row>
    <row r="4">
      <c r="A4" t="inlineStr">
        <is>
          <t>Abrams</t>
        </is>
      </c>
      <c r="B4" t="inlineStr">
        <is>
          <t>Shoulder Charge</t>
        </is>
      </c>
      <c r="C4" t="inlineStr">
        <is>
          <t>Utility</t>
        </is>
      </c>
      <c r="D4" t="inlineStr">
        <is>
          <t>Utility</t>
        </is>
      </c>
      <c r="E4" t="inlineStr">
        <is>
          <t>Charge forward,  pulling enemies you hit. Pushing a hero into a wall applies  stun. If you collide with a hero you move faster during your charge.</t>
        </is>
      </c>
    </row>
    <row r="5">
      <c r="A5" t="inlineStr">
        <is>
          <t>Abrams</t>
        </is>
      </c>
      <c r="B5" t="inlineStr">
        <is>
          <t>Infernal Resilience</t>
        </is>
      </c>
      <c r="C5" t="inlineStr">
        <is>
          <t>Damage</t>
        </is>
      </c>
      <c r="D5" t="inlineStr">
        <is>
          <t>Damage</t>
        </is>
      </c>
      <c r="E5" t="inlineStr">
        <is>
          <t>Gain bonus defensive attributes. Taking damage grants temporary  regeneration for a portion of the damage taken.</t>
        </is>
      </c>
    </row>
    <row r="6">
      <c r="A6" t="inlineStr">
        <is>
          <t>Abrams</t>
        </is>
      </c>
      <c r="B6" t="inlineStr">
        <is>
          <t>Seismic Impact</t>
        </is>
      </c>
      <c r="C6" t="inlineStr">
        <is>
          <t>Damage</t>
        </is>
      </c>
      <c r="D6" t="inlineStr">
        <is>
          <t>Damage</t>
        </is>
      </c>
      <c r="E6" t="inlineStr">
        <is>
          <t>Leap high into the air before crashing into the ground, dealing  spirit damage and applying  stun.</t>
        </is>
      </c>
    </row>
    <row r="7">
      <c r="A7" t="inlineStr">
        <is>
          <t>Abrams</t>
        </is>
      </c>
      <c r="B7" t="inlineStr">
        <is>
          <t>Seismic Impact</t>
        </is>
      </c>
      <c r="C7" t="inlineStr">
        <is>
          <t>Engage</t>
        </is>
      </c>
      <c r="D7" t="inlineStr">
        <is>
          <t>Pick</t>
        </is>
      </c>
      <c r="E7" t="inlineStr">
        <is>
          <t>Leap high into the air before crashing into the ground, dealing  spirit damage and applying  stun.</t>
        </is>
      </c>
    </row>
    <row r="8">
      <c r="A8" t="inlineStr">
        <is>
          <t>Abrams</t>
        </is>
      </c>
      <c r="B8" t="inlineStr">
        <is>
          <t>Seismic Impact</t>
        </is>
      </c>
      <c r="C8" t="inlineStr">
        <is>
          <t>Pick</t>
        </is>
      </c>
      <c r="D8" t="inlineStr">
        <is>
          <t>Pick</t>
        </is>
      </c>
      <c r="E8" t="inlineStr">
        <is>
          <t>Leap high into the air before crashing into the ground, dealing  spirit damage and applying  stun.</t>
        </is>
      </c>
    </row>
    <row r="9">
      <c r="A9" t="inlineStr">
        <is>
          <t>Abrams</t>
        </is>
      </c>
      <c r="B9" t="inlineStr">
        <is>
          <t>Siphon Life</t>
        </is>
      </c>
      <c r="C9" t="inlineStr">
        <is>
          <t>Damage</t>
        </is>
      </c>
      <c r="D9" t="inlineStr">
        <is>
          <t>Damage</t>
        </is>
      </c>
      <c r="E9" t="inlineStr">
        <is>
          <t>Drain health from nearby enemies in front of you, dealing  spirit damage over time and  healing for a portion of the damage dealt.</t>
        </is>
      </c>
    </row>
    <row r="10">
      <c r="A10" t="inlineStr">
        <is>
          <t>Abrams</t>
        </is>
      </c>
      <c r="B10" t="inlineStr">
        <is>
          <t>Siphon Life</t>
        </is>
      </c>
      <c r="C10" t="inlineStr">
        <is>
          <t>Sustain</t>
        </is>
      </c>
      <c r="D10" t="inlineStr">
        <is>
          <t>Utility</t>
        </is>
      </c>
      <c r="E10" t="inlineStr">
        <is>
          <t>Drain health from nearby enemies in front of you, dealing  spirit damage over time and  healing for a portion of the damage dealt.</t>
        </is>
      </c>
    </row>
    <row r="11">
      <c r="A11" t="inlineStr">
        <is>
          <t>Abrams</t>
        </is>
      </c>
      <c r="B11" t="inlineStr">
        <is>
          <t>Siphon Life</t>
        </is>
      </c>
      <c r="C11" t="inlineStr">
        <is>
          <t>Tank</t>
        </is>
      </c>
      <c r="D11" t="inlineStr">
        <is>
          <t>Tank</t>
        </is>
      </c>
      <c r="E11" t="inlineStr">
        <is>
          <t>Drain health from nearby enemies in front of you, dealing  spirit damage over time and  healing for a portion of the damage dealt.</t>
        </is>
      </c>
    </row>
    <row r="12">
      <c r="A12" t="inlineStr">
        <is>
          <t>Abrams</t>
        </is>
      </c>
      <c r="B12" t="inlineStr">
        <is>
          <t>Siphon Life</t>
        </is>
      </c>
      <c r="C12" t="inlineStr">
        <is>
          <t>Utility</t>
        </is>
      </c>
      <c r="D12" t="inlineStr">
        <is>
          <t>Utility</t>
        </is>
      </c>
      <c r="E12" t="inlineStr">
        <is>
          <t>Drain health from nearby enemies in front of you, dealing  spirit damage over time and  healing for a portion of the damage dealt.</t>
        </is>
      </c>
    </row>
    <row r="13">
      <c r="A13" t="inlineStr">
        <is>
          <t>Apollo</t>
        </is>
      </c>
      <c r="B13" t="inlineStr">
        <is>
          <t>Disengaging Sigil</t>
        </is>
      </c>
      <c r="C13" t="inlineStr">
        <is>
          <t>Damage</t>
        </is>
      </c>
      <c r="D13" t="inlineStr">
        <is>
          <t>Damage</t>
        </is>
      </c>
      <c r="E13" t="inlineStr">
        <is>
          <t>Draw a sigil sphere in front of you and then leap backwards as it explodes, damaging and slowing enemies caught in it.</t>
        </is>
      </c>
    </row>
    <row r="14">
      <c r="A14" t="inlineStr">
        <is>
          <t>Apollo</t>
        </is>
      </c>
      <c r="B14" t="inlineStr">
        <is>
          <t>Disengaging Sigil</t>
        </is>
      </c>
      <c r="C14" t="inlineStr">
        <is>
          <t>Engage</t>
        </is>
      </c>
      <c r="D14" t="inlineStr">
        <is>
          <t>Pick</t>
        </is>
      </c>
      <c r="E14" t="inlineStr">
        <is>
          <t>Draw a sigil sphere in front of you and then leap backwards as it explodes, damaging and slowing enemies caught in it.</t>
        </is>
      </c>
    </row>
    <row r="15">
      <c r="A15" t="inlineStr">
        <is>
          <t>Apollo</t>
        </is>
      </c>
      <c r="B15" t="inlineStr">
        <is>
          <t>Disengaging Sigil</t>
        </is>
      </c>
      <c r="C15" t="inlineStr">
        <is>
          <t>Pick</t>
        </is>
      </c>
      <c r="D15" t="inlineStr">
        <is>
          <t>Pick</t>
        </is>
      </c>
      <c r="E15" t="inlineStr">
        <is>
          <t>Draw a sigil sphere in front of you and then leap backwards as it explodes, damaging and slowing enemies caught in it.</t>
        </is>
      </c>
    </row>
    <row r="16">
      <c r="A16" t="inlineStr">
        <is>
          <t>Apollo</t>
        </is>
      </c>
      <c r="B16" t="inlineStr">
        <is>
          <t>Disengaging Sigil</t>
        </is>
      </c>
      <c r="C16" t="inlineStr">
        <is>
          <t>Utility</t>
        </is>
      </c>
      <c r="D16" t="inlineStr">
        <is>
          <t>Utility</t>
        </is>
      </c>
      <c r="E16" t="inlineStr">
        <is>
          <t>Draw a sigil sphere in front of you and then leap backwards as it explodes, damaging and slowing enemies caught in it.</t>
        </is>
      </c>
    </row>
    <row r="17">
      <c r="A17" t="inlineStr">
        <is>
          <t>Apollo</t>
        </is>
      </c>
      <c r="B17" t="inlineStr">
        <is>
          <t>Riposte</t>
        </is>
      </c>
      <c r="C17" t="inlineStr">
        <is>
          <t>Damage</t>
        </is>
      </c>
      <c r="D17" t="inlineStr">
        <is>
          <t>Damage</t>
        </is>
      </c>
      <c r="E17" t="inlineStr">
        <is>
          <t>Prepare to deflect the next incoming attack. On a successful deflection, briefly become invulnerable, before performing a dash forward that stuns an enemy and reduces their Melee Resist.</t>
        </is>
      </c>
    </row>
    <row r="18">
      <c r="A18" t="inlineStr">
        <is>
          <t>Apollo</t>
        </is>
      </c>
      <c r="B18" t="inlineStr">
        <is>
          <t>Riposte</t>
        </is>
      </c>
      <c r="C18" t="inlineStr">
        <is>
          <t>Engage</t>
        </is>
      </c>
      <c r="D18" t="inlineStr">
        <is>
          <t>Pick</t>
        </is>
      </c>
      <c r="E18" t="inlineStr">
        <is>
          <t>Prepare to deflect the next incoming attack. On a successful deflection, briefly become invulnerable, before performing a dash forward that stuns an enemy and reduces their Melee Resist.</t>
        </is>
      </c>
    </row>
    <row r="19">
      <c r="A19" t="inlineStr">
        <is>
          <t>Apollo</t>
        </is>
      </c>
      <c r="B19" t="inlineStr">
        <is>
          <t>Riposte</t>
        </is>
      </c>
      <c r="C19" t="inlineStr">
        <is>
          <t>Pick</t>
        </is>
      </c>
      <c r="D19" t="inlineStr">
        <is>
          <t>Pick</t>
        </is>
      </c>
      <c r="E19" t="inlineStr">
        <is>
          <t>Prepare to deflect the next incoming attack. On a successful deflection, briefly become invulnerable, before performing a dash forward that stuns an enemy and reduces their Melee Resist.</t>
        </is>
      </c>
    </row>
    <row r="20">
      <c r="A20" t="inlineStr">
        <is>
          <t>Apollo</t>
        </is>
      </c>
      <c r="B20" t="inlineStr">
        <is>
          <t>Riposte</t>
        </is>
      </c>
      <c r="C20" t="inlineStr">
        <is>
          <t>Sustain</t>
        </is>
      </c>
      <c r="D20" t="inlineStr">
        <is>
          <t>Utility</t>
        </is>
      </c>
      <c r="E20" t="inlineStr">
        <is>
          <t>Prepare to deflect the next incoming attack. On a successful deflection, briefly become invulnerable, before performing a dash forward that stuns an enemy and reduces their Melee Resist.</t>
        </is>
      </c>
    </row>
    <row r="21">
      <c r="A21" t="inlineStr">
        <is>
          <t>Apollo</t>
        </is>
      </c>
      <c r="B21" t="inlineStr">
        <is>
          <t>Riposte</t>
        </is>
      </c>
      <c r="C21" t="inlineStr">
        <is>
          <t>Tank</t>
        </is>
      </c>
      <c r="D21" t="inlineStr">
        <is>
          <t>Tank</t>
        </is>
      </c>
      <c r="E21" t="inlineStr">
        <is>
          <t>Prepare to deflect the next incoming attack. On a successful deflection, briefly become invulnerable, before performing a dash forward that stuns an enemy and reduces their Melee Resist.</t>
        </is>
      </c>
    </row>
    <row r="22">
      <c r="A22" t="inlineStr">
        <is>
          <t>Apollo</t>
        </is>
      </c>
      <c r="B22" t="inlineStr">
        <is>
          <t>Riposte</t>
        </is>
      </c>
      <c r="C22" t="inlineStr">
        <is>
          <t>Utility</t>
        </is>
      </c>
      <c r="D22" t="inlineStr">
        <is>
          <t>Utility</t>
        </is>
      </c>
      <c r="E22" t="inlineStr">
        <is>
          <t>Prepare to deflect the next incoming attack. On a successful deflection, briefly become invulnerable, before performing a dash forward that stuns an enemy and reduces their Melee Resist.</t>
        </is>
      </c>
    </row>
    <row r="23">
      <c r="A23" t="inlineStr">
        <is>
          <t>Apollo</t>
        </is>
      </c>
      <c r="B23" t="inlineStr">
        <is>
          <t>Flawless Advance</t>
        </is>
      </c>
      <c r="C23" t="inlineStr">
        <is>
          <t>Damage</t>
        </is>
      </c>
      <c r="D23" t="inlineStr">
        <is>
          <t>Damage</t>
        </is>
      </c>
      <c r="E23" t="inlineStr">
        <is>
          <t>Perform a series of lunges in any direction, delivering piercing stabs ahead of you. Hold your ability key to time your attacks, dealing more damage the longer it's held. Releasing your attack during the perfect window deals maximum damage. Press Ability 3 button to re-cast.</t>
        </is>
      </c>
    </row>
    <row r="24">
      <c r="A24" t="inlineStr">
        <is>
          <t>Apollo</t>
        </is>
      </c>
      <c r="B24" t="inlineStr">
        <is>
          <t>Flawless Advance</t>
        </is>
      </c>
      <c r="C24" t="inlineStr">
        <is>
          <t>Engage</t>
        </is>
      </c>
      <c r="D24" t="inlineStr">
        <is>
          <t>Pick</t>
        </is>
      </c>
      <c r="E24" t="inlineStr">
        <is>
          <t>Perform a series of lunges in any direction, delivering piercing stabs ahead of you. Hold your ability key to time your attacks, dealing more damage the longer it's held. Releasing your attack during the perfect window deals maximum damage. Press Ability 3 button to re-cast.</t>
        </is>
      </c>
    </row>
    <row r="25">
      <c r="A25" t="inlineStr">
        <is>
          <t>Apollo</t>
        </is>
      </c>
      <c r="B25" t="inlineStr">
        <is>
          <t>Itani Lo Sahn</t>
        </is>
      </c>
      <c r="C25" t="inlineStr">
        <is>
          <t>Damage</t>
        </is>
      </c>
      <c r="D25" t="inlineStr">
        <is>
          <t>Damage</t>
        </is>
      </c>
      <c r="E25" t="inlineStr">
        <is>
          <t>Charge up and perform a long range slash. Struck enemies cannot take action or heal and are stuck in slow motion. When this effect expires, they suffer devastating damage, dealing bonus damage against half-health enemies. While in slow motion, Apollo is invulnerable and enemies take reduced damage.Hold Ability 4 button or Fire button to delay the cast.</t>
        </is>
      </c>
    </row>
    <row r="26">
      <c r="A26" t="inlineStr">
        <is>
          <t>Apollo</t>
        </is>
      </c>
      <c r="B26" t="inlineStr">
        <is>
          <t>Itani Lo Sahn</t>
        </is>
      </c>
      <c r="C26" t="inlineStr">
        <is>
          <t>Engage</t>
        </is>
      </c>
      <c r="D26" t="inlineStr">
        <is>
          <t>Pick</t>
        </is>
      </c>
      <c r="E26" t="inlineStr">
        <is>
          <t>Charge up and perform a long range slash. Struck enemies cannot take action or heal and are stuck in slow motion. When this effect expires, they suffer devastating damage, dealing bonus damage against half-health enemies. While in slow motion, Apollo is invulnerable and enemies take reduced damage.Hold Ability 4 button or Fire button to delay the cast.</t>
        </is>
      </c>
    </row>
    <row r="27">
      <c r="A27" t="inlineStr">
        <is>
          <t>Apollo</t>
        </is>
      </c>
      <c r="B27" t="inlineStr">
        <is>
          <t>Itani Lo Sahn</t>
        </is>
      </c>
      <c r="C27" t="inlineStr">
        <is>
          <t>Pick</t>
        </is>
      </c>
      <c r="D27" t="inlineStr">
        <is>
          <t>Pick</t>
        </is>
      </c>
      <c r="E27" t="inlineStr">
        <is>
          <t>Charge up and perform a long range slash. Struck enemies cannot take action or heal and are stuck in slow motion. When this effect expires, they suffer devastating damage, dealing bonus damage against half-health enemies. While in slow motion, Apollo is invulnerable and enemies take reduced damage.Hold Ability 4 button or Fire button to delay the cast.</t>
        </is>
      </c>
    </row>
    <row r="28">
      <c r="A28" t="inlineStr">
        <is>
          <t>Apollo</t>
        </is>
      </c>
      <c r="B28" t="inlineStr">
        <is>
          <t>Itani Lo Sahn</t>
        </is>
      </c>
      <c r="C28" t="inlineStr">
        <is>
          <t>Sustain</t>
        </is>
      </c>
      <c r="D28" t="inlineStr">
        <is>
          <t>Utility</t>
        </is>
      </c>
      <c r="E28" t="inlineStr">
        <is>
          <t>Charge up and perform a long range slash. Struck enemies cannot take action or heal and are stuck in slow motion. When this effect expires, they suffer devastating damage, dealing bonus damage against half-health enemies. While in slow motion, Apollo is invulnerable and enemies take reduced damage.Hold Ability 4 button or Fire button to delay the cast.</t>
        </is>
      </c>
    </row>
    <row r="29">
      <c r="A29" t="inlineStr">
        <is>
          <t>Apollo</t>
        </is>
      </c>
      <c r="B29" t="inlineStr">
        <is>
          <t>Itani Lo Sahn</t>
        </is>
      </c>
      <c r="C29" t="inlineStr">
        <is>
          <t>Tank</t>
        </is>
      </c>
      <c r="D29" t="inlineStr">
        <is>
          <t>Tank</t>
        </is>
      </c>
      <c r="E29" t="inlineStr">
        <is>
          <t>Charge up and perform a long range slash. Struck enemies cannot take action or heal and are stuck in slow motion. When this effect expires, they suffer devastating damage, dealing bonus damage against half-health enemies. While in slow motion, Apollo is invulnerable and enemies take reduced damage.Hold Ability 4 button or Fire button to delay the cast.</t>
        </is>
      </c>
    </row>
    <row r="30">
      <c r="A30" t="inlineStr">
        <is>
          <t>Apollo</t>
        </is>
      </c>
      <c r="B30" t="inlineStr">
        <is>
          <t>Itani Lo Sahn</t>
        </is>
      </c>
      <c r="C30" t="inlineStr">
        <is>
          <t>Utility</t>
        </is>
      </c>
      <c r="D30" t="inlineStr">
        <is>
          <t>Utility</t>
        </is>
      </c>
      <c r="E30" t="inlineStr">
        <is>
          <t>Charge up and perform a long range slash. Struck enemies cannot take action or heal and are stuck in slow motion. When this effect expires, they suffer devastating damage, dealing bonus damage against half-health enemies. While in slow motion, Apollo is invulnerable and enemies take reduced damage.Hold Ability 4 button or Fire button to delay the cast.</t>
        </is>
      </c>
    </row>
    <row r="31">
      <c r="A31" t="inlineStr">
        <is>
          <t>Bebop</t>
        </is>
      </c>
      <c r="B31" t="inlineStr">
        <is>
          <t>Exploding Uppercut</t>
        </is>
      </c>
      <c r="C31" t="inlineStr">
        <is>
          <t>Damage</t>
        </is>
      </c>
      <c r="D31" t="inlineStr">
        <is>
          <t>Damage</t>
        </is>
      </c>
      <c r="E31" t="inlineStr">
        <is>
          <t>Deal melee damage to nearby enemies and apply  knockback. When they land, they deal  spirit damage and apply  reduced fire rate to other nearby enemies. Exploding Uppercut can be used on allies.</t>
        </is>
      </c>
    </row>
    <row r="32">
      <c r="A32" t="inlineStr">
        <is>
          <t>Bebop</t>
        </is>
      </c>
      <c r="B32" t="inlineStr">
        <is>
          <t>Exploding Uppercut</t>
        </is>
      </c>
      <c r="C32" t="inlineStr">
        <is>
          <t>Pick</t>
        </is>
      </c>
      <c r="D32" t="inlineStr">
        <is>
          <t>Pick</t>
        </is>
      </c>
      <c r="E32" t="inlineStr">
        <is>
          <t>Deal melee damage to nearby enemies and apply  knockback. When they land, they deal  spirit damage and apply  reduced fire rate to other nearby enemies. Exploding Uppercut can be used on allies.</t>
        </is>
      </c>
    </row>
    <row r="33">
      <c r="A33" t="inlineStr">
        <is>
          <t>Bebop</t>
        </is>
      </c>
      <c r="B33" t="inlineStr">
        <is>
          <t>Exploding Uppercut</t>
        </is>
      </c>
      <c r="C33" t="inlineStr">
        <is>
          <t>Utility</t>
        </is>
      </c>
      <c r="D33" t="inlineStr">
        <is>
          <t>Utility</t>
        </is>
      </c>
      <c r="E33" t="inlineStr">
        <is>
          <t>Deal melee damage to nearby enemies and apply  knockback. When they land, they deal  spirit damage and apply  reduced fire rate to other nearby enemies. Exploding Uppercut can be used on allies.</t>
        </is>
      </c>
    </row>
    <row r="34">
      <c r="A34" t="inlineStr">
        <is>
          <t>Bebop</t>
        </is>
      </c>
      <c r="B34" t="inlineStr">
        <is>
          <t>Sticky Bomb</t>
        </is>
      </c>
      <c r="C34" t="inlineStr">
        <is>
          <t>Damage</t>
        </is>
      </c>
      <c r="D34" t="inlineStr">
        <is>
          <t>Damage</t>
        </is>
      </c>
      <c r="E34" t="inlineStr">
        <is>
          <t>Attach a bomb that explodes after a delay, dealing  spirit damage to nearby enemies. If the bomb hits or kills a hero, you gain permanent bonus damage on Sticky Bomb. Stacks diminish by half after 60 hits and 7 kills</t>
        </is>
      </c>
    </row>
    <row r="35">
      <c r="A35" t="inlineStr">
        <is>
          <t>Bebop</t>
        </is>
      </c>
      <c r="B35" t="inlineStr">
        <is>
          <t>Hyper Beam</t>
        </is>
      </c>
      <c r="C35" t="inlineStr">
        <is>
          <t>Damage</t>
        </is>
      </c>
      <c r="D35" t="inlineStr">
        <is>
          <t>Damage</t>
        </is>
      </c>
      <c r="E35" t="inlineStr">
        <is>
          <t>Channel a powerful torrent of energy that deals  spirit damage and applies slow.</t>
        </is>
      </c>
    </row>
    <row r="36">
      <c r="A36" t="inlineStr">
        <is>
          <t>Bebop</t>
        </is>
      </c>
      <c r="B36" t="inlineStr">
        <is>
          <t>Hyper Beam</t>
        </is>
      </c>
      <c r="C36" t="inlineStr">
        <is>
          <t>Pick</t>
        </is>
      </c>
      <c r="D36" t="inlineStr">
        <is>
          <t>Pick</t>
        </is>
      </c>
      <c r="E36" t="inlineStr">
        <is>
          <t>Channel a powerful torrent of energy that deals  spirit damage and applies slow.</t>
        </is>
      </c>
    </row>
    <row r="37">
      <c r="A37" t="inlineStr">
        <is>
          <t>Bebop</t>
        </is>
      </c>
      <c r="B37" t="inlineStr">
        <is>
          <t>Hyper Beam</t>
        </is>
      </c>
      <c r="C37" t="inlineStr">
        <is>
          <t>Utility</t>
        </is>
      </c>
      <c r="D37" t="inlineStr">
        <is>
          <t>Utility</t>
        </is>
      </c>
      <c r="E37" t="inlineStr">
        <is>
          <t>Channel a powerful torrent of energy that deals  spirit damage and applies slow.</t>
        </is>
      </c>
    </row>
    <row r="38">
      <c r="A38" t="inlineStr">
        <is>
          <t>Bebop</t>
        </is>
      </c>
      <c r="B38" t="inlineStr">
        <is>
          <t>Grapple Arm</t>
        </is>
      </c>
      <c r="C38" t="inlineStr">
        <is>
          <t>Engage</t>
        </is>
      </c>
      <c r="D38" t="inlineStr">
        <is>
          <t>Pick</t>
        </is>
      </c>
      <c r="E38" t="inlineStr">
        <is>
          <t>Launch out a mechanical hand that  pulls the first character it hits, reeling them in. Grapple Arm can be used on allies.</t>
        </is>
      </c>
    </row>
    <row r="39">
      <c r="A39" t="inlineStr">
        <is>
          <t>Bebop</t>
        </is>
      </c>
      <c r="B39" t="inlineStr">
        <is>
          <t>Grapple Arm</t>
        </is>
      </c>
      <c r="C39" t="inlineStr">
        <is>
          <t>Pick</t>
        </is>
      </c>
      <c r="D39" t="inlineStr">
        <is>
          <t>Pick</t>
        </is>
      </c>
      <c r="E39" t="inlineStr">
        <is>
          <t>Launch out a mechanical hand that  pulls the first character it hits, reeling them in. Grapple Arm can be used on allies.</t>
        </is>
      </c>
    </row>
    <row r="40">
      <c r="A40" t="inlineStr">
        <is>
          <t>Bebop</t>
        </is>
      </c>
      <c r="B40" t="inlineStr">
        <is>
          <t>Grapple Arm</t>
        </is>
      </c>
      <c r="C40" t="inlineStr">
        <is>
          <t>Utility</t>
        </is>
      </c>
      <c r="D40" t="inlineStr">
        <is>
          <t>Utility</t>
        </is>
      </c>
      <c r="E40" t="inlineStr">
        <is>
          <t>Launch out a mechanical hand that  pulls the first character it hits, reeling them in. Grapple Arm can be used on allies.</t>
        </is>
      </c>
    </row>
    <row r="41">
      <c r="A41" t="inlineStr">
        <is>
          <t>Billy</t>
        </is>
      </c>
      <c r="B41" t="inlineStr">
        <is>
          <t>Blasted</t>
        </is>
      </c>
      <c r="C41" t="inlineStr">
        <is>
          <t>Damage</t>
        </is>
      </c>
      <c r="D41" t="inlineStr">
        <is>
          <t>Damage</t>
        </is>
      </c>
      <c r="E41" t="inlineStr">
        <is>
          <t>Passive: Active: Active: Empower your weapons. Melee boosts  max health and bullets are amplified against wrecked enemies. Deal weapon damage to remain Blasted longer.</t>
        </is>
      </c>
    </row>
    <row r="42">
      <c r="A42" t="inlineStr">
        <is>
          <t>Billy</t>
        </is>
      </c>
      <c r="B42" t="inlineStr">
        <is>
          <t>Blasted</t>
        </is>
      </c>
      <c r="C42" t="inlineStr">
        <is>
          <t>Sustain</t>
        </is>
      </c>
      <c r="D42" t="inlineStr">
        <is>
          <t>Utility</t>
        </is>
      </c>
      <c r="E42" t="inlineStr">
        <is>
          <t>Passive: Active: Active: Empower your weapons. Melee boosts  max health and bullets are amplified against wrecked enemies. Deal weapon damage to remain Blasted longer.</t>
        </is>
      </c>
    </row>
    <row r="43">
      <c r="A43" t="inlineStr">
        <is>
          <t>Billy</t>
        </is>
      </c>
      <c r="B43" t="inlineStr">
        <is>
          <t>Blasted</t>
        </is>
      </c>
      <c r="C43" t="inlineStr">
        <is>
          <t>Tank</t>
        </is>
      </c>
      <c r="D43" t="inlineStr">
        <is>
          <t>Tank</t>
        </is>
      </c>
      <c r="E43" t="inlineStr">
        <is>
          <t>Passive: Active: Active: Empower your weapons. Melee boosts  max health and bullets are amplified against wrecked enemies. Deal weapon damage to remain Blasted longer.</t>
        </is>
      </c>
    </row>
    <row r="44">
      <c r="A44" t="inlineStr">
        <is>
          <t>Billy</t>
        </is>
      </c>
      <c r="B44" t="inlineStr">
        <is>
          <t>Blasted</t>
        </is>
      </c>
      <c r="C44" t="inlineStr">
        <is>
          <t>Utility</t>
        </is>
      </c>
      <c r="D44" t="inlineStr">
        <is>
          <t>Utility</t>
        </is>
      </c>
      <c r="E44" t="inlineStr">
        <is>
          <t>Passive: Active: Active: Empower your weapons. Melee boosts  max health and bullets are amplified against wrecked enemies. Deal weapon damage to remain Blasted longer.</t>
        </is>
      </c>
    </row>
    <row r="45">
      <c r="A45" t="inlineStr">
        <is>
          <t>Billy</t>
        </is>
      </c>
      <c r="B45" t="inlineStr">
        <is>
          <t>Chain Gang</t>
        </is>
      </c>
      <c r="C45" t="inlineStr">
        <is>
          <t>Damage</t>
        </is>
      </c>
      <c r="D45" t="inlineStr">
        <is>
          <t>Damage</t>
        </is>
      </c>
      <c r="E45" t="inlineStr">
        <is>
          <t>Chain nearby enemies to you. Chained enemies cannot use movement abilities and receive a heavy slow when they pull on the chain. After a delay, yank everyone towards Billy and deal  spirit damage. The chain breaks if you lose line of sight for a short while.</t>
        </is>
      </c>
    </row>
    <row r="46">
      <c r="A46" t="inlineStr">
        <is>
          <t>Billy</t>
        </is>
      </c>
      <c r="B46" t="inlineStr">
        <is>
          <t>Chain Gang</t>
        </is>
      </c>
      <c r="C46" t="inlineStr">
        <is>
          <t>Pick</t>
        </is>
      </c>
      <c r="D46" t="inlineStr">
        <is>
          <t>Pick</t>
        </is>
      </c>
      <c r="E46" t="inlineStr">
        <is>
          <t>Chain nearby enemies to you. Chained enemies cannot use movement abilities and receive a heavy slow when they pull on the chain. After a delay, yank everyone towards Billy and deal  spirit damage. The chain breaks if you lose line of sight for a short while.</t>
        </is>
      </c>
    </row>
    <row r="47">
      <c r="A47" t="inlineStr">
        <is>
          <t>Billy</t>
        </is>
      </c>
      <c r="B47" t="inlineStr">
        <is>
          <t>Chain Gang</t>
        </is>
      </c>
      <c r="C47" t="inlineStr">
        <is>
          <t>Utility</t>
        </is>
      </c>
      <c r="D47" t="inlineStr">
        <is>
          <t>Utility</t>
        </is>
      </c>
      <c r="E47" t="inlineStr">
        <is>
          <t>Chain nearby enemies to you. Chained enemies cannot use movement abilities and receive a heavy slow when they pull on the chain. After a delay, yank everyone towards Billy and deal  spirit damage. The chain breaks if you lose line of sight for a short while.</t>
        </is>
      </c>
    </row>
    <row r="48">
      <c r="A48" t="inlineStr">
        <is>
          <t>Billy</t>
        </is>
      </c>
      <c r="B48" t="inlineStr">
        <is>
          <t>Rising Ram</t>
        </is>
      </c>
      <c r="C48" t="inlineStr">
        <is>
          <t>Engage</t>
        </is>
      </c>
      <c r="D48" t="inlineStr">
        <is>
          <t>Pick</t>
        </is>
      </c>
      <c r="E48" t="inlineStr">
        <is>
          <t>Charge head-first into an enemy and send them into the air along with Billy.</t>
        </is>
      </c>
    </row>
    <row r="49">
      <c r="A49" t="inlineStr">
        <is>
          <t>Billy</t>
        </is>
      </c>
      <c r="B49" t="inlineStr">
        <is>
          <t>Bashdown</t>
        </is>
      </c>
      <c r="C49" t="inlineStr">
        <is>
          <t>Damage</t>
        </is>
      </c>
      <c r="D49" t="inlineStr">
        <is>
          <t>Damage</t>
        </is>
      </c>
      <c r="E49" t="inlineStr">
        <is>
          <t>Slam your bat into the ground,  pulling enemies down and dealing melee damage. The slam creates a shockwave that deals  spirit damage and applies  knockup.</t>
        </is>
      </c>
    </row>
    <row r="50">
      <c r="A50" t="inlineStr">
        <is>
          <t>Billy</t>
        </is>
      </c>
      <c r="B50" t="inlineStr">
        <is>
          <t>Bashdown</t>
        </is>
      </c>
      <c r="C50" t="inlineStr">
        <is>
          <t>Pick</t>
        </is>
      </c>
      <c r="D50" t="inlineStr">
        <is>
          <t>Pick</t>
        </is>
      </c>
      <c r="E50" t="inlineStr">
        <is>
          <t>Slam your bat into the ground,  pulling enemies down and dealing melee damage. The slam creates a shockwave that deals  spirit damage and applies  knockup.</t>
        </is>
      </c>
    </row>
    <row r="51">
      <c r="A51" t="inlineStr">
        <is>
          <t>Calico</t>
        </is>
      </c>
      <c r="B51" t="inlineStr">
        <is>
          <t>Ava</t>
        </is>
      </c>
      <c r="C51" t="inlineStr">
        <is>
          <t>Damage</t>
        </is>
      </c>
      <c r="D51" t="inlineStr">
        <is>
          <t>Damage</t>
        </is>
      </c>
      <c r="E51" t="inlineStr">
        <is>
          <t>Turn to shadows and possess Ava. You gain  bonus move speed and become  hidden on the minimap, but cannot use your weapon or cast abilities. ability melee : Pounce to break boxes. When taking damage from an enemy hero, bonus move speed is reduced by 65% and you are unable to activate Ava for 6s.</t>
        </is>
      </c>
    </row>
    <row r="52">
      <c r="A52" t="inlineStr">
        <is>
          <t>Calico</t>
        </is>
      </c>
      <c r="B52" t="inlineStr">
        <is>
          <t>Ava</t>
        </is>
      </c>
      <c r="C52" t="inlineStr">
        <is>
          <t>Engage</t>
        </is>
      </c>
      <c r="D52" t="inlineStr">
        <is>
          <t>Pick</t>
        </is>
      </c>
      <c r="E52" t="inlineStr">
        <is>
          <t>Turn to shadows and possess Ava. You gain  bonus move speed and become  hidden on the minimap, but cannot use your weapon or cast abilities. ability melee : Pounce to break boxes. When taking damage from an enemy hero, bonus move speed is reduced by 65% and you are unable to activate Ava for 6s.</t>
        </is>
      </c>
    </row>
    <row r="53">
      <c r="A53" t="inlineStr">
        <is>
          <t>Calico</t>
        </is>
      </c>
      <c r="B53" t="inlineStr">
        <is>
          <t>Ava</t>
        </is>
      </c>
      <c r="C53" t="inlineStr">
        <is>
          <t>Utility</t>
        </is>
      </c>
      <c r="D53" t="inlineStr">
        <is>
          <t>Utility</t>
        </is>
      </c>
      <c r="E53" t="inlineStr">
        <is>
          <t>Turn to shadows and possess Ava. You gain  bonus move speed and become  hidden on the minimap, but cannot use your weapon or cast abilities. ability melee : Pounce to break boxes. When taking damage from an enemy hero, bonus move speed is reduced by 65% and you are unable to activate Ava for 6s.</t>
        </is>
      </c>
    </row>
    <row r="54">
      <c r="A54" t="inlineStr">
        <is>
          <t>Calico</t>
        </is>
      </c>
      <c r="B54" t="inlineStr">
        <is>
          <t>Gloom Bombs</t>
        </is>
      </c>
      <c r="C54" t="inlineStr">
        <is>
          <t>Damage</t>
        </is>
      </c>
      <c r="D54" t="inlineStr">
        <is>
          <t>Damage</t>
        </is>
      </c>
      <c r="E54" t="inlineStr">
        <is>
          <t>Throw a cluster of bombs that detonate after a delay, dealing  spirit damage. Enemies hit by multiple bombs take 65% damage.</t>
        </is>
      </c>
    </row>
    <row r="55">
      <c r="A55" t="inlineStr">
        <is>
          <t>Calico</t>
        </is>
      </c>
      <c r="B55" t="inlineStr">
        <is>
          <t>Return to Shadows</t>
        </is>
      </c>
      <c r="C55" t="inlineStr">
        <is>
          <t>Damage</t>
        </is>
      </c>
      <c r="D55" t="inlineStr">
        <is>
          <t>Damage</t>
        </is>
      </c>
      <c r="E55" t="inlineStr">
        <is>
          <t>Instantly turn to shadows, becoming untargetable, gaining  bonus move speed, and dealing  spirit damage. After a delay, return from the shadows, dealing  spirit damage again.</t>
        </is>
      </c>
    </row>
    <row r="56">
      <c r="A56" t="inlineStr">
        <is>
          <t>Calico</t>
        </is>
      </c>
      <c r="B56" t="inlineStr">
        <is>
          <t>Return to Shadows</t>
        </is>
      </c>
      <c r="C56" t="inlineStr">
        <is>
          <t>Utility</t>
        </is>
      </c>
      <c r="D56" t="inlineStr">
        <is>
          <t>Utility</t>
        </is>
      </c>
      <c r="E56" t="inlineStr">
        <is>
          <t>Instantly turn to shadows, becoming untargetable, gaining  bonus move speed, and dealing  spirit damage. After a delay, return from the shadows, dealing  spirit damage again.</t>
        </is>
      </c>
    </row>
    <row r="57">
      <c r="A57" t="inlineStr">
        <is>
          <t>Calico</t>
        </is>
      </c>
      <c r="B57" t="inlineStr">
        <is>
          <t>Leaping Slash</t>
        </is>
      </c>
      <c r="C57" t="inlineStr">
        <is>
          <t>Damage</t>
        </is>
      </c>
      <c r="D57" t="inlineStr">
        <is>
          <t>Damage</t>
        </is>
      </c>
      <c r="E57" t="inlineStr">
        <is>
          <t>Dash forward before slashing all enemies in a circle, dealing melee damage. If the ability hits at least one hero,  heal a small amount of health.</t>
        </is>
      </c>
    </row>
    <row r="58">
      <c r="A58" t="inlineStr">
        <is>
          <t>Calico</t>
        </is>
      </c>
      <c r="B58" t="inlineStr">
        <is>
          <t>Leaping Slash</t>
        </is>
      </c>
      <c r="C58" t="inlineStr">
        <is>
          <t>Engage</t>
        </is>
      </c>
      <c r="D58" t="inlineStr">
        <is>
          <t>Pick</t>
        </is>
      </c>
      <c r="E58" t="inlineStr">
        <is>
          <t>Dash forward before slashing all enemies in a circle, dealing melee damage. If the ability hits at least one hero,  heal a small amount of health.</t>
        </is>
      </c>
    </row>
    <row r="59">
      <c r="A59" t="inlineStr">
        <is>
          <t>Calico</t>
        </is>
      </c>
      <c r="B59" t="inlineStr">
        <is>
          <t>Leaping Slash</t>
        </is>
      </c>
      <c r="C59" t="inlineStr">
        <is>
          <t>Sustain</t>
        </is>
      </c>
      <c r="D59" t="inlineStr">
        <is>
          <t>Utility</t>
        </is>
      </c>
      <c r="E59" t="inlineStr">
        <is>
          <t>Dash forward before slashing all enemies in a circle, dealing melee damage. If the ability hits at least one hero,  heal a small amount of health.</t>
        </is>
      </c>
    </row>
    <row r="60">
      <c r="A60" t="inlineStr">
        <is>
          <t>Calico</t>
        </is>
      </c>
      <c r="B60" t="inlineStr">
        <is>
          <t>Leaping Slash</t>
        </is>
      </c>
      <c r="C60" t="inlineStr">
        <is>
          <t>Tank</t>
        </is>
      </c>
      <c r="D60" t="inlineStr">
        <is>
          <t>Tank</t>
        </is>
      </c>
      <c r="E60" t="inlineStr">
        <is>
          <t>Dash forward before slashing all enemies in a circle, dealing melee damage. If the ability hits at least one hero,  heal a small amount of health.</t>
        </is>
      </c>
    </row>
    <row r="61">
      <c r="A61" t="inlineStr">
        <is>
          <t>Calico</t>
        </is>
      </c>
      <c r="B61" t="inlineStr">
        <is>
          <t>Leaping Slash</t>
        </is>
      </c>
      <c r="C61" t="inlineStr">
        <is>
          <t>Utility</t>
        </is>
      </c>
      <c r="D61" t="inlineStr">
        <is>
          <t>Utility</t>
        </is>
      </c>
      <c r="E61" t="inlineStr">
        <is>
          <t>Dash forward before slashing all enemies in a circle, dealing melee damage. If the ability hits at least one hero,  heal a small amount of health.</t>
        </is>
      </c>
    </row>
    <row r="62">
      <c r="A62" t="inlineStr">
        <is>
          <t>Celeste</t>
        </is>
      </c>
      <c r="B62" t="inlineStr">
        <is>
          <t>Light Eater</t>
        </is>
      </c>
      <c r="C62" t="inlineStr">
        <is>
          <t>Damage</t>
        </is>
      </c>
      <c r="D62" t="inlineStr">
        <is>
          <t>Damage</t>
        </is>
      </c>
      <c r="E62" t="inlineStr">
        <is>
          <t>Blast enemies in a cone in front of you with a flare of light. Blasted enemies take  spirit damage when attacked by Celeste and provides her spirit lifesteal.</t>
        </is>
      </c>
    </row>
    <row r="63">
      <c r="A63" t="inlineStr">
        <is>
          <t>Celeste</t>
        </is>
      </c>
      <c r="B63" t="inlineStr">
        <is>
          <t>Light Eater</t>
        </is>
      </c>
      <c r="C63" t="inlineStr">
        <is>
          <t>Sustain</t>
        </is>
      </c>
      <c r="D63" t="inlineStr">
        <is>
          <t>Utility</t>
        </is>
      </c>
      <c r="E63" t="inlineStr">
        <is>
          <t>Blast enemies in a cone in front of you with a flare of light. Blasted enemies take  spirit damage when attacked by Celeste and provides her spirit lifesteal.</t>
        </is>
      </c>
    </row>
    <row r="64">
      <c r="A64" t="inlineStr">
        <is>
          <t>Celeste</t>
        </is>
      </c>
      <c r="B64" t="inlineStr">
        <is>
          <t>Dazzling Trick</t>
        </is>
      </c>
      <c r="C64" t="inlineStr">
        <is>
          <t>Damage</t>
        </is>
      </c>
      <c r="D64" t="inlineStr">
        <is>
          <t>Damage</t>
        </is>
      </c>
      <c r="E64" t="inlineStr">
        <is>
          <t>Surround yourself in a protective prism that provides  bonus move speed. If the barrier is destroyed, it silences nearby enemies and deals a portion of the barrier as damage.</t>
        </is>
      </c>
    </row>
    <row r="65">
      <c r="A65" t="inlineStr">
        <is>
          <t>Celeste</t>
        </is>
      </c>
      <c r="B65" t="inlineStr">
        <is>
          <t>Dazzling Trick</t>
        </is>
      </c>
      <c r="C65" t="inlineStr">
        <is>
          <t>Pick</t>
        </is>
      </c>
      <c r="D65" t="inlineStr">
        <is>
          <t>Pick</t>
        </is>
      </c>
      <c r="E65" t="inlineStr">
        <is>
          <t>Surround yourself in a protective prism that provides  bonus move speed. If the barrier is destroyed, it silences nearby enemies and deals a portion of the barrier as damage.</t>
        </is>
      </c>
    </row>
    <row r="66">
      <c r="A66" t="inlineStr">
        <is>
          <t>Celeste</t>
        </is>
      </c>
      <c r="B66" t="inlineStr">
        <is>
          <t>Dazzling Trick</t>
        </is>
      </c>
      <c r="C66" t="inlineStr">
        <is>
          <t>Tank</t>
        </is>
      </c>
      <c r="D66" t="inlineStr">
        <is>
          <t>Tank</t>
        </is>
      </c>
      <c r="E66" t="inlineStr">
        <is>
          <t>Surround yourself in a protective prism that provides  bonus move speed. If the barrier is destroyed, it silences nearby enemies and deals a portion of the barrier as damage.</t>
        </is>
      </c>
    </row>
    <row r="67">
      <c r="A67" t="inlineStr">
        <is>
          <t>Celeste</t>
        </is>
      </c>
      <c r="B67" t="inlineStr">
        <is>
          <t>Dazzling Trick</t>
        </is>
      </c>
      <c r="C67" t="inlineStr">
        <is>
          <t>Utility</t>
        </is>
      </c>
      <c r="D67" t="inlineStr">
        <is>
          <t>Utility</t>
        </is>
      </c>
      <c r="E67" t="inlineStr">
        <is>
          <t>Surround yourself in a protective prism that provides  bonus move speed. If the barrier is destroyed, it silences nearby enemies and deals a portion of the barrier as damage.</t>
        </is>
      </c>
    </row>
    <row r="68">
      <c r="A68" t="inlineStr">
        <is>
          <t>Celeste</t>
        </is>
      </c>
      <c r="B68" t="inlineStr">
        <is>
          <t>Shining Wonder</t>
        </is>
      </c>
      <c r="C68" t="inlineStr">
        <is>
          <t>Damage</t>
        </is>
      </c>
      <c r="D68" t="inlineStr">
        <is>
          <t>Damage</t>
        </is>
      </c>
      <c r="E68" t="inlineStr">
        <is>
          <t>Launch a deadly orb of light that deals  spirit damage and applies slow and reduces Dash Distance on impact. The orb then bounces to the enemies within range. If no target is found, the orb will linger for a short duration while continuing to look for targets. Prioritizes enemy heroes when picking targets. Refunds half the cooldown on a miss.</t>
        </is>
      </c>
    </row>
    <row r="69">
      <c r="A69" t="inlineStr">
        <is>
          <t>Celeste</t>
        </is>
      </c>
      <c r="B69" t="inlineStr">
        <is>
          <t>Shining Wonder</t>
        </is>
      </c>
      <c r="C69" t="inlineStr">
        <is>
          <t>Engage</t>
        </is>
      </c>
      <c r="D69" t="inlineStr">
        <is>
          <t>Pick</t>
        </is>
      </c>
      <c r="E69" t="inlineStr">
        <is>
          <t>Launch a deadly orb of light that deals  spirit damage and applies slow and reduces Dash Distance on impact. The orb then bounces to the enemies within range. If no target is found, the orb will linger for a short duration while continuing to look for targets. Prioritizes enemy heroes when picking targets. Refunds half the cooldown on a miss.</t>
        </is>
      </c>
    </row>
    <row r="70">
      <c r="A70" t="inlineStr">
        <is>
          <t>Celeste</t>
        </is>
      </c>
      <c r="B70" t="inlineStr">
        <is>
          <t>Shining Wonder</t>
        </is>
      </c>
      <c r="C70" t="inlineStr">
        <is>
          <t>Pick</t>
        </is>
      </c>
      <c r="D70" t="inlineStr">
        <is>
          <t>Pick</t>
        </is>
      </c>
      <c r="E70" t="inlineStr">
        <is>
          <t>Launch a deadly orb of light that deals  spirit damage and applies slow and reduces Dash Distance on impact. The orb then bounces to the enemies within range. If no target is found, the orb will linger for a short duration while continuing to look for targets. Prioritizes enemy heroes when picking targets. Refunds half the cooldown on a miss.</t>
        </is>
      </c>
    </row>
    <row r="71">
      <c r="A71" t="inlineStr">
        <is>
          <t>Celeste</t>
        </is>
      </c>
      <c r="B71" t="inlineStr">
        <is>
          <t>Shining Wonder</t>
        </is>
      </c>
      <c r="C71" t="inlineStr">
        <is>
          <t>Utility</t>
        </is>
      </c>
      <c r="D71" t="inlineStr">
        <is>
          <t>Utility</t>
        </is>
      </c>
      <c r="E71" t="inlineStr">
        <is>
          <t>Launch a deadly orb of light that deals  spirit damage and applies slow and reduces Dash Distance on impact. The orb then bounces to the enemies within range. If no target is found, the orb will linger for a short duration while continuing to look for targets. Prioritizes enemy heroes when picking targets. Refunds half the cooldown on a miss.</t>
        </is>
      </c>
    </row>
    <row r="72">
      <c r="A72" t="inlineStr">
        <is>
          <t>Celeste</t>
        </is>
      </c>
      <c r="B72" t="inlineStr">
        <is>
          <t>Radiant Daggers</t>
        </is>
      </c>
      <c r="C72" t="inlineStr">
        <is>
          <t>Damage</t>
        </is>
      </c>
      <c r="D72" t="inlineStr">
        <is>
          <t>Damage</t>
        </is>
      </c>
      <c r="E72" t="inlineStr">
        <is>
          <t>Call down a beam of light from the sky. After a short duration, the beam will fully form, causing an explosion that deals  spirit damage to all targets in the area. Celeste will receive a stacking buff that increases her spirit damage anytime this hits an enemy hero.</t>
        </is>
      </c>
    </row>
    <row r="73">
      <c r="A73" t="inlineStr">
        <is>
          <t>Celeste</t>
        </is>
      </c>
      <c r="B73" t="inlineStr">
        <is>
          <t>Radiant Daggers</t>
        </is>
      </c>
      <c r="C73" t="inlineStr">
        <is>
          <t>Utility</t>
        </is>
      </c>
      <c r="D73" t="inlineStr">
        <is>
          <t>Utility</t>
        </is>
      </c>
      <c r="E73" t="inlineStr">
        <is>
          <t>Call down a beam of light from the sky. After a short duration, the beam will fully form, causing an explosion that deals  spirit damage to all targets in the area. Celeste will receive a stacking buff that increases her spirit damage anytime this hits an enemy hero.</t>
        </is>
      </c>
    </row>
    <row r="74">
      <c r="A74" t="inlineStr">
        <is>
          <t>Doorman</t>
        </is>
      </c>
      <c r="B74" t="inlineStr">
        <is>
          <t>Doorway</t>
        </is>
      </c>
      <c r="C74" t="inlineStr">
        <is>
          <t>Damage</t>
        </is>
      </c>
      <c r="D74" t="inlineStr">
        <is>
          <t>Damage</t>
        </is>
      </c>
      <c r="E74" t="inlineStr">
        <is>
          <t>Place two connected doors in the world. Players and most projectiles entering one door will exit out through the other. The doors will close at the end of the duration, or if the ability is activated again. The two doors must be placed within the doorway distance of each other.</t>
        </is>
      </c>
    </row>
    <row r="75">
      <c r="A75" t="inlineStr">
        <is>
          <t>Doorman</t>
        </is>
      </c>
      <c r="B75" t="inlineStr">
        <is>
          <t>Luggage Cart</t>
        </is>
      </c>
      <c r="C75" t="inlineStr">
        <is>
          <t>Damage</t>
        </is>
      </c>
      <c r="D75" t="inlineStr">
        <is>
          <t>Damage</t>
        </is>
      </c>
      <c r="E75" t="inlineStr">
        <is>
          <t>Send out a luggage Cart that deals  spirit damage and  pulls enemy heroes along its path. Can be alt cast with Alternate Cast to target friendly heroes instead.</t>
        </is>
      </c>
    </row>
    <row r="76">
      <c r="A76" t="inlineStr">
        <is>
          <t>Doorman</t>
        </is>
      </c>
      <c r="B76" t="inlineStr">
        <is>
          <t>Luggage Cart</t>
        </is>
      </c>
      <c r="C76" t="inlineStr">
        <is>
          <t>Pick</t>
        </is>
      </c>
      <c r="D76" t="inlineStr">
        <is>
          <t>Pick</t>
        </is>
      </c>
      <c r="E76" t="inlineStr">
        <is>
          <t>Send out a luggage Cart that deals  spirit damage and  pulls enemy heroes along its path. Can be alt cast with Alternate Cast to target friendly heroes instead.</t>
        </is>
      </c>
    </row>
    <row r="77">
      <c r="A77" t="inlineStr">
        <is>
          <t>Doorman</t>
        </is>
      </c>
      <c r="B77" t="inlineStr">
        <is>
          <t>Call Bell</t>
        </is>
      </c>
      <c r="C77" t="inlineStr">
        <is>
          <t>Damage</t>
        </is>
      </c>
      <c r="D77" t="inlineStr">
        <is>
          <t>Damage</t>
        </is>
      </c>
      <c r="E77" t="inlineStr">
        <is>
          <t>Throw out a call bell that deals  spirit damage on impact. After a short delay it explodes, dealing additional  spirit damage and causing affected enemies to suffer reduced weapon accuracy and movement slow. Can be shot to detonate early.</t>
        </is>
      </c>
    </row>
    <row r="78">
      <c r="A78" t="inlineStr">
        <is>
          <t>Doorman</t>
        </is>
      </c>
      <c r="B78" t="inlineStr">
        <is>
          <t>Call Bell</t>
        </is>
      </c>
      <c r="C78" t="inlineStr">
        <is>
          <t>Pick</t>
        </is>
      </c>
      <c r="D78" t="inlineStr">
        <is>
          <t>Pick</t>
        </is>
      </c>
      <c r="E78" t="inlineStr">
        <is>
          <t>Throw out a call bell that deals  spirit damage on impact. After a short delay it explodes, dealing additional  spirit damage and causing affected enemies to suffer reduced weapon accuracy and movement slow. Can be shot to detonate early.</t>
        </is>
      </c>
    </row>
    <row r="79">
      <c r="A79" t="inlineStr">
        <is>
          <t>Doorman</t>
        </is>
      </c>
      <c r="B79" t="inlineStr">
        <is>
          <t>Call Bell</t>
        </is>
      </c>
      <c r="C79" t="inlineStr">
        <is>
          <t>Utility</t>
        </is>
      </c>
      <c r="D79" t="inlineStr">
        <is>
          <t>Utility</t>
        </is>
      </c>
      <c r="E79" t="inlineStr">
        <is>
          <t>Throw out a call bell that deals  spirit damage on impact. After a short delay it explodes, dealing additional  spirit damage and causing affected enemies to suffer reduced weapon accuracy and movement slow. Can be shot to detonate early.</t>
        </is>
      </c>
    </row>
    <row r="80">
      <c r="A80" t="inlineStr">
        <is>
          <t>Doorman</t>
        </is>
      </c>
      <c r="B80" t="inlineStr">
        <is>
          <t>Hotel Guest</t>
        </is>
      </c>
      <c r="C80" t="inlineStr">
        <is>
          <t>Damage</t>
        </is>
      </c>
      <c r="D80" t="inlineStr">
        <is>
          <t>Damage</t>
        </is>
      </c>
      <c r="E80" t="inlineStr">
        <is>
          <t>Send the target's physical body to be a guest at the Baroness Hotel. The guest is to promptly make their way to the exit elevator, where they'll be sent back to their original position. A stay at the Baroness Hotel is paid for in  spirit damage. Failure to check-out on time costs additional  spirit damage.</t>
        </is>
      </c>
    </row>
    <row r="81">
      <c r="A81" t="inlineStr">
        <is>
          <t>Drifter</t>
        </is>
      </c>
      <c r="B81" t="inlineStr">
        <is>
          <t>Rend</t>
        </is>
      </c>
      <c r="C81" t="inlineStr">
        <is>
          <t>Damage</t>
        </is>
      </c>
      <c r="D81" t="inlineStr">
        <is>
          <t>Damage</t>
        </is>
      </c>
      <c r="E81" t="inlineStr">
        <is>
          <t>Swipe at enemies in a cone ahead of you, dealing melee damage. If the enemy is at close range, deal  bonus spirit damage.</t>
        </is>
      </c>
    </row>
    <row r="82">
      <c r="A82" t="inlineStr">
        <is>
          <t>Drifter</t>
        </is>
      </c>
      <c r="B82" t="inlineStr">
        <is>
          <t>Stalker's Mark</t>
        </is>
      </c>
      <c r="C82" t="inlineStr">
        <is>
          <t>Damage</t>
        </is>
      </c>
      <c r="D82" t="inlineStr">
        <is>
          <t>Damage</t>
        </is>
      </c>
      <c r="E82" t="inlineStr">
        <is>
          <t>Send out a mark that bleeds the first target it hits, dealing  spirit damage over time. While the enemy is bleeding you can re-activate Stalker's Mark to instantly appear behind their back.</t>
        </is>
      </c>
    </row>
    <row r="83">
      <c r="A83" t="inlineStr">
        <is>
          <t>Drifter</t>
        </is>
      </c>
      <c r="B83" t="inlineStr">
        <is>
          <t>Bloodscent</t>
        </is>
      </c>
      <c r="C83" t="inlineStr">
        <is>
          <t>Damage</t>
        </is>
      </c>
      <c r="D83" t="inlineStr">
        <is>
          <t>Damage</t>
        </is>
      </c>
      <c r="E83" t="inlineStr">
        <is>
          <t>Active: Active: Accentuate your senses, revealing a trail that leads to nearby heroes. Passive: Isolated heroes leave a trail as they move, and emit their heartbeat from afar. You deal amplified damage against isolated heroes, and killing them grants you permanent  weapon damage.</t>
        </is>
      </c>
    </row>
    <row r="84">
      <c r="A84" t="inlineStr">
        <is>
          <t>Drifter</t>
        </is>
      </c>
      <c r="B84" t="inlineStr">
        <is>
          <t>Bloodscent</t>
        </is>
      </c>
      <c r="C84" t="inlineStr">
        <is>
          <t>Utility</t>
        </is>
      </c>
      <c r="D84" t="inlineStr">
        <is>
          <t>Utility</t>
        </is>
      </c>
      <c r="E84" t="inlineStr">
        <is>
          <t>Active: Active: Accentuate your senses, revealing a trail that leads to nearby heroes. Passive: Isolated heroes leave a trail as they move, and emit their heartbeat from afar. You deal amplified damage against isolated heroes, and killing them grants you permanent  weapon damage.</t>
        </is>
      </c>
    </row>
    <row r="85">
      <c r="A85" t="inlineStr">
        <is>
          <t>Drifter</t>
        </is>
      </c>
      <c r="B85" t="inlineStr">
        <is>
          <t>Eternal Night</t>
        </is>
      </c>
      <c r="C85" t="inlineStr">
        <is>
          <t>Damage</t>
        </is>
      </c>
      <c r="D85" t="inlineStr">
        <is>
          <t>Damage</t>
        </is>
      </c>
      <c r="E85" t="inlineStr">
        <is>
          <t>Surround nearby enemy heroes in darkness, severely limiting their vision of other units. Affected enemies are briefly revealed. You gain  bonus sprint speed and your attacks proc  spirit damage for the duration.</t>
        </is>
      </c>
    </row>
    <row r="86">
      <c r="A86" t="inlineStr">
        <is>
          <t>Drifter</t>
        </is>
      </c>
      <c r="B86" t="inlineStr">
        <is>
          <t>Eternal Night</t>
        </is>
      </c>
      <c r="C86" t="inlineStr">
        <is>
          <t>Utility</t>
        </is>
      </c>
      <c r="D86" t="inlineStr">
        <is>
          <t>Utility</t>
        </is>
      </c>
      <c r="E86" t="inlineStr">
        <is>
          <t>Surround nearby enemy heroes in darkness, severely limiting their vision of other units. Affected enemies are briefly revealed. You gain  bonus sprint speed and your attacks proc  spirit damage for the duration.</t>
        </is>
      </c>
    </row>
    <row r="87">
      <c r="A87" t="inlineStr">
        <is>
          <t>Dynamo</t>
        </is>
      </c>
      <c r="B87" t="inlineStr">
        <is>
          <t>Kinetic Pulse</t>
        </is>
      </c>
      <c r="C87" t="inlineStr">
        <is>
          <t>Damage</t>
        </is>
      </c>
      <c r="D87" t="inlineStr">
        <is>
          <t>Damage</t>
        </is>
      </c>
      <c r="E87" t="inlineStr">
        <is>
          <t>Release an energy pulse that travels along the ground, dealing  spirit damage and applying  knockup.</t>
        </is>
      </c>
    </row>
    <row r="88">
      <c r="A88" t="inlineStr">
        <is>
          <t>Dynamo</t>
        </is>
      </c>
      <c r="B88" t="inlineStr">
        <is>
          <t>Kinetic Pulse</t>
        </is>
      </c>
      <c r="C88" t="inlineStr">
        <is>
          <t>Pick</t>
        </is>
      </c>
      <c r="D88" t="inlineStr">
        <is>
          <t>Pick</t>
        </is>
      </c>
      <c r="E88" t="inlineStr">
        <is>
          <t>Release an energy pulse that travels along the ground, dealing  spirit damage and applying  knockup.</t>
        </is>
      </c>
    </row>
    <row r="89">
      <c r="A89" t="inlineStr">
        <is>
          <t>Dynamo</t>
        </is>
      </c>
      <c r="B89" t="inlineStr">
        <is>
          <t>Quantum Entanglement</t>
        </is>
      </c>
      <c r="C89" t="inlineStr">
        <is>
          <t>Damage</t>
        </is>
      </c>
      <c r="D89" t="inlineStr">
        <is>
          <t>Damage</t>
        </is>
      </c>
      <c r="E89" t="inlineStr">
        <is>
          <t>Briefly become untargetable and teleport to the target location. On reappearing, gain  bonus fire rate and reload your weapon. Alternate Cast : Bring nearby allies, reloading their weapons and granting them half of your  bonus fire rate.</t>
        </is>
      </c>
    </row>
    <row r="90">
      <c r="A90" t="inlineStr">
        <is>
          <t>Dynamo</t>
        </is>
      </c>
      <c r="B90" t="inlineStr">
        <is>
          <t>Quantum Entanglement</t>
        </is>
      </c>
      <c r="C90" t="inlineStr">
        <is>
          <t>Engage</t>
        </is>
      </c>
      <c r="D90" t="inlineStr">
        <is>
          <t>Pick</t>
        </is>
      </c>
      <c r="E90" t="inlineStr">
        <is>
          <t>Briefly become untargetable and teleport to the target location. On reappearing, gain  bonus fire rate and reload your weapon. Alternate Cast : Bring nearby allies, reloading their weapons and granting them half of your  bonus fire rate.</t>
        </is>
      </c>
    </row>
    <row r="91">
      <c r="A91" t="inlineStr">
        <is>
          <t>Dynamo</t>
        </is>
      </c>
      <c r="B91" t="inlineStr">
        <is>
          <t>Quantum Entanglement</t>
        </is>
      </c>
      <c r="C91" t="inlineStr">
        <is>
          <t>Utility</t>
        </is>
      </c>
      <c r="D91" t="inlineStr">
        <is>
          <t>Utility</t>
        </is>
      </c>
      <c r="E91" t="inlineStr">
        <is>
          <t>Briefly become untargetable and teleport to the target location. On reappearing, gain  bonus fire rate and reload your weapon. Alternate Cast : Bring nearby allies, reloading their weapons and granting them half of your  bonus fire rate.</t>
        </is>
      </c>
    </row>
    <row r="92">
      <c r="A92" t="inlineStr">
        <is>
          <t>Dynamo</t>
        </is>
      </c>
      <c r="B92" t="inlineStr">
        <is>
          <t>Rejuvenating Aurora</t>
        </is>
      </c>
      <c r="C92" t="inlineStr">
        <is>
          <t>Engage</t>
        </is>
      </c>
      <c r="D92" t="inlineStr">
        <is>
          <t>Pick</t>
        </is>
      </c>
      <c r="E92" t="inlineStr">
        <is>
          <t>While channeling, restore health over time to you and any allies nearby. You can dash and melee without breaking the channel.</t>
        </is>
      </c>
    </row>
    <row r="93">
      <c r="A93" t="inlineStr">
        <is>
          <t>Dynamo</t>
        </is>
      </c>
      <c r="B93" t="inlineStr">
        <is>
          <t>Rejuvenating Aurora</t>
        </is>
      </c>
      <c r="C93" t="inlineStr">
        <is>
          <t>Sustain</t>
        </is>
      </c>
      <c r="D93" t="inlineStr">
        <is>
          <t>Utility</t>
        </is>
      </c>
      <c r="E93" t="inlineStr">
        <is>
          <t>While channeling, restore health over time to you and any allies nearby. You can dash and melee without breaking the channel.</t>
        </is>
      </c>
    </row>
    <row r="94">
      <c r="A94" t="inlineStr">
        <is>
          <t>Dynamo</t>
        </is>
      </c>
      <c r="B94" t="inlineStr">
        <is>
          <t>Rejuvenating Aurora</t>
        </is>
      </c>
      <c r="C94" t="inlineStr">
        <is>
          <t>Tank</t>
        </is>
      </c>
      <c r="D94" t="inlineStr">
        <is>
          <t>Tank</t>
        </is>
      </c>
      <c r="E94" t="inlineStr">
        <is>
          <t>While channeling, restore health over time to you and any allies nearby. You can dash and melee without breaking the channel.</t>
        </is>
      </c>
    </row>
    <row r="95">
      <c r="A95" t="inlineStr">
        <is>
          <t>Dynamo</t>
        </is>
      </c>
      <c r="B95" t="inlineStr">
        <is>
          <t>Rejuvenating Aurora</t>
        </is>
      </c>
      <c r="C95" t="inlineStr">
        <is>
          <t>Utility</t>
        </is>
      </c>
      <c r="D95" t="inlineStr">
        <is>
          <t>Utility</t>
        </is>
      </c>
      <c r="E95" t="inlineStr">
        <is>
          <t>While channeling, restore health over time to you and any allies nearby. You can dash and melee without breaking the channel.</t>
        </is>
      </c>
    </row>
    <row r="96">
      <c r="A96" t="inlineStr">
        <is>
          <t>Dynamo</t>
        </is>
      </c>
      <c r="B96" t="inlineStr">
        <is>
          <t>Singularity</t>
        </is>
      </c>
      <c r="C96" t="inlineStr">
        <is>
          <t>Damage</t>
        </is>
      </c>
      <c r="D96" t="inlineStr">
        <is>
          <t>Damage</t>
        </is>
      </c>
      <c r="E96" t="inlineStr">
        <is>
          <t>Create a singularity in your hands, dealing spirit damage over time, applying  stun, and pulling in nearby enemies.</t>
        </is>
      </c>
    </row>
    <row r="97">
      <c r="A97" t="inlineStr">
        <is>
          <t>Dynamo</t>
        </is>
      </c>
      <c r="B97" t="inlineStr">
        <is>
          <t>Singularity</t>
        </is>
      </c>
      <c r="C97" t="inlineStr">
        <is>
          <t>Pick</t>
        </is>
      </c>
      <c r="D97" t="inlineStr">
        <is>
          <t>Pick</t>
        </is>
      </c>
      <c r="E97" t="inlineStr">
        <is>
          <t>Create a singularity in your hands, dealing spirit damage over time, applying  stun, and pulling in nearby enemies.</t>
        </is>
      </c>
    </row>
    <row r="98">
      <c r="A98" t="inlineStr">
        <is>
          <t>Graves</t>
        </is>
      </c>
      <c r="B98" t="inlineStr">
        <is>
          <t>Grasping Hands</t>
        </is>
      </c>
      <c r="C98" t="inlineStr">
        <is>
          <t>Damage</t>
        </is>
      </c>
      <c r="D98" t="inlineStr">
        <is>
          <t>Damage</t>
        </is>
      </c>
      <c r="E98" t="inlineStr">
        <is>
          <t>Unearth a line of grasping hands, dealing  spirit damage and applying immobilize to enemies when they pass through. Alt-Cast Alternate Cast rotates the orientation of the wall.</t>
        </is>
      </c>
    </row>
    <row r="99">
      <c r="A99" t="inlineStr">
        <is>
          <t>Graves</t>
        </is>
      </c>
      <c r="B99" t="inlineStr">
        <is>
          <t>Grasping Hands</t>
        </is>
      </c>
      <c r="C99" t="inlineStr">
        <is>
          <t>Pick</t>
        </is>
      </c>
      <c r="D99" t="inlineStr">
        <is>
          <t>Pick</t>
        </is>
      </c>
      <c r="E99" t="inlineStr">
        <is>
          <t>Unearth a line of grasping hands, dealing  spirit damage and applying immobilize to enemies when they pass through. Alt-Cast Alternate Cast rotates the orientation of the wall.</t>
        </is>
      </c>
    </row>
    <row r="100">
      <c r="A100" t="inlineStr">
        <is>
          <t>Graves</t>
        </is>
      </c>
      <c r="B100" t="inlineStr">
        <is>
          <t>Jar of Dead</t>
        </is>
      </c>
      <c r="C100" t="inlineStr">
        <is>
          <t>Utility</t>
        </is>
      </c>
      <c r="D100" t="inlineStr">
        <is>
          <t>Utility</t>
        </is>
      </c>
      <c r="E100" t="inlineStr">
        <is>
          <t>Passive:</t>
        </is>
      </c>
    </row>
    <row r="101">
      <c r="A101" t="inlineStr">
        <is>
          <t>Graves</t>
        </is>
      </c>
      <c r="B101" t="inlineStr">
        <is>
          <t>Borrowed Decree</t>
        </is>
      </c>
      <c r="C101" t="inlineStr">
        <is>
          <t>Utility</t>
        </is>
      </c>
      <c r="D101" t="inlineStr">
        <is>
          <t>Utility</t>
        </is>
      </c>
      <c r="E101" t="inlineStr">
        <is>
          <t>-</t>
        </is>
      </c>
    </row>
    <row r="102">
      <c r="A102" t="inlineStr">
        <is>
          <t>Graves</t>
        </is>
      </c>
      <c r="B102" t="inlineStr">
        <is>
          <t>Essence Theft</t>
        </is>
      </c>
      <c r="C102" t="inlineStr">
        <is>
          <t>Damage</t>
        </is>
      </c>
      <c r="D102" t="inlineStr">
        <is>
          <t>Damage</t>
        </is>
      </c>
      <c r="E102" t="inlineStr">
        <is>
          <t>Your weapon steals  weapon damage and spirit resist over time, up to a maximum amount per target.</t>
        </is>
      </c>
    </row>
    <row r="103">
      <c r="A103" t="inlineStr">
        <is>
          <t>Graves</t>
        </is>
      </c>
      <c r="B103" t="inlineStr">
        <is>
          <t>Essence Theft</t>
        </is>
      </c>
      <c r="C103" t="inlineStr">
        <is>
          <t>Tank</t>
        </is>
      </c>
      <c r="D103" t="inlineStr">
        <is>
          <t>Tank</t>
        </is>
      </c>
      <c r="E103" t="inlineStr">
        <is>
          <t>Your weapon steals  weapon damage and spirit resist over time, up to a maximum amount per target.</t>
        </is>
      </c>
    </row>
    <row r="104">
      <c r="A104" t="inlineStr">
        <is>
          <t>Grey Talon</t>
        </is>
      </c>
      <c r="B104" t="inlineStr">
        <is>
          <t>Charged Shot</t>
        </is>
      </c>
      <c r="C104" t="inlineStr">
        <is>
          <t>Damage</t>
        </is>
      </c>
      <c r="D104" t="inlineStr">
        <is>
          <t>Damage</t>
        </is>
      </c>
      <c r="E104" t="inlineStr">
        <is>
          <t>Charge up a powerful shot that pierces through enemies. Hold Ability 1 button or Fire button to hold the shot.</t>
        </is>
      </c>
    </row>
    <row r="105">
      <c r="A105" t="inlineStr">
        <is>
          <t>Grey Talon</t>
        </is>
      </c>
      <c r="B105" t="inlineStr">
        <is>
          <t>Charged Shot</t>
        </is>
      </c>
      <c r="C105" t="inlineStr">
        <is>
          <t>Engage</t>
        </is>
      </c>
      <c r="D105" t="inlineStr">
        <is>
          <t>Pick</t>
        </is>
      </c>
      <c r="E105" t="inlineStr">
        <is>
          <t>Charge up a powerful shot that pierces through enemies. Hold Ability 1 button or Fire button to hold the shot.</t>
        </is>
      </c>
    </row>
    <row r="106">
      <c r="A106" t="inlineStr">
        <is>
          <t>Grey Talon</t>
        </is>
      </c>
      <c r="B106" t="inlineStr">
        <is>
          <t>Rain of Arrows</t>
        </is>
      </c>
      <c r="C106" t="inlineStr">
        <is>
          <t>Damage</t>
        </is>
      </c>
      <c r="D106" t="inlineStr">
        <is>
          <t>Damage</t>
        </is>
      </c>
      <c r="E106" t="inlineStr">
        <is>
          <t>Launches you high in the air, allowing you to glide slowly. While airborne, you gain Weapon Damage and multishot on your weapon. Alternate Cast for reduced jump height. Press Jump button to cancel the glide.</t>
        </is>
      </c>
    </row>
    <row r="107">
      <c r="A107" t="inlineStr">
        <is>
          <t>Grey Talon</t>
        </is>
      </c>
      <c r="B107" t="inlineStr">
        <is>
          <t>Rain of Arrows</t>
        </is>
      </c>
      <c r="C107" t="inlineStr">
        <is>
          <t>Engage</t>
        </is>
      </c>
      <c r="D107" t="inlineStr">
        <is>
          <t>Pick</t>
        </is>
      </c>
      <c r="E107" t="inlineStr">
        <is>
          <t>Launches you high in the air, allowing you to glide slowly. While airborne, you gain Weapon Damage and multishot on your weapon. Alternate Cast for reduced jump height. Press Jump button to cancel the glide.</t>
        </is>
      </c>
    </row>
    <row r="108">
      <c r="A108" t="inlineStr">
        <is>
          <t>Grey Talon</t>
        </is>
      </c>
      <c r="B108" t="inlineStr">
        <is>
          <t>Rain of Arrows</t>
        </is>
      </c>
      <c r="C108" t="inlineStr">
        <is>
          <t>Pick</t>
        </is>
      </c>
      <c r="D108" t="inlineStr">
        <is>
          <t>Pick</t>
        </is>
      </c>
      <c r="E108" t="inlineStr">
        <is>
          <t>Launches you high in the air, allowing you to glide slowly. While airborne, you gain Weapon Damage and multishot on your weapon. Alternate Cast for reduced jump height. Press Jump button to cancel the glide.</t>
        </is>
      </c>
    </row>
    <row r="109">
      <c r="A109" t="inlineStr">
        <is>
          <t>Grey Talon</t>
        </is>
      </c>
      <c r="B109" t="inlineStr">
        <is>
          <t>Rain of Arrows</t>
        </is>
      </c>
      <c r="C109" t="inlineStr">
        <is>
          <t>Utility</t>
        </is>
      </c>
      <c r="D109" t="inlineStr">
        <is>
          <t>Utility</t>
        </is>
      </c>
      <c r="E109" t="inlineStr">
        <is>
          <t>Launches you high in the air, allowing you to glide slowly. While airborne, you gain Weapon Damage and multishot on your weapon. Alternate Cast for reduced jump height. Press Jump button to cancel the glide.</t>
        </is>
      </c>
    </row>
    <row r="110">
      <c r="A110" t="inlineStr">
        <is>
          <t>Grey Talon</t>
        </is>
      </c>
      <c r="B110" t="inlineStr">
        <is>
          <t>Spirit Snare</t>
        </is>
      </c>
      <c r="C110" t="inlineStr">
        <is>
          <t>Damage</t>
        </is>
      </c>
      <c r="D110" t="inlineStr">
        <is>
          <t>Damage</t>
        </is>
      </c>
      <c r="E110" t="inlineStr">
        <is>
          <t>Throw out a trap that begins to arm itself. Once armed, the trap will trigger when an enemy enters its radius, applying Curse and Movement Slow that interrupts, Silences, Disarms, and prevents item usage. Hit the trap with a Charged Shot to detonate early with increased radius.</t>
        </is>
      </c>
    </row>
    <row r="111">
      <c r="A111" t="inlineStr">
        <is>
          <t>Grey Talon</t>
        </is>
      </c>
      <c r="B111" t="inlineStr">
        <is>
          <t>Spirit Snare</t>
        </is>
      </c>
      <c r="C111" t="inlineStr">
        <is>
          <t>Engage</t>
        </is>
      </c>
      <c r="D111" t="inlineStr">
        <is>
          <t>Pick</t>
        </is>
      </c>
      <c r="E111" t="inlineStr">
        <is>
          <t>Throw out a trap that begins to arm itself. Once armed, the trap will trigger when an enemy enters its radius, applying Curse and Movement Slow that interrupts, Silences, Disarms, and prevents item usage. Hit the trap with a Charged Shot to detonate early with increased radius.</t>
        </is>
      </c>
    </row>
    <row r="112">
      <c r="A112" t="inlineStr">
        <is>
          <t>Grey Talon</t>
        </is>
      </c>
      <c r="B112" t="inlineStr">
        <is>
          <t>Spirit Snare</t>
        </is>
      </c>
      <c r="C112" t="inlineStr">
        <is>
          <t>Pick</t>
        </is>
      </c>
      <c r="D112" t="inlineStr">
        <is>
          <t>Pick</t>
        </is>
      </c>
      <c r="E112" t="inlineStr">
        <is>
          <t>Throw out a trap that begins to arm itself. Once armed, the trap will trigger when an enemy enters its radius, applying Curse and Movement Slow that interrupts, Silences, Disarms, and prevents item usage. Hit the trap with a Charged Shot to detonate early with increased radius.</t>
        </is>
      </c>
    </row>
    <row r="113">
      <c r="A113" t="inlineStr">
        <is>
          <t>Grey Talon</t>
        </is>
      </c>
      <c r="B113" t="inlineStr">
        <is>
          <t>Spirit Snare</t>
        </is>
      </c>
      <c r="C113" t="inlineStr">
        <is>
          <t>Utility</t>
        </is>
      </c>
      <c r="D113" t="inlineStr">
        <is>
          <t>Utility</t>
        </is>
      </c>
      <c r="E113" t="inlineStr">
        <is>
          <t>Throw out a trap that begins to arm itself. Once armed, the trap will trigger when an enemy enters its radius, applying Curse and Movement Slow that interrupts, Silences, Disarms, and prevents item usage. Hit the trap with a Charged Shot to detonate early with increased radius.</t>
        </is>
      </c>
    </row>
    <row r="114">
      <c r="A114" t="inlineStr">
        <is>
          <t>Grey Talon</t>
        </is>
      </c>
      <c r="B114" t="inlineStr">
        <is>
          <t>Guided Owl</t>
        </is>
      </c>
      <c r="C114" t="inlineStr">
        <is>
          <t>Damage</t>
        </is>
      </c>
      <c r="D114" t="inlineStr">
        <is>
          <t>Damage</t>
        </is>
      </c>
      <c r="E114" t="inlineStr">
        <is>
          <t>After 1.5s cast time, launch a spirit owl that you control and which explodes on impact, damaging and stunning enemies. Hold Move Forward button to accelerate the owl. Press Jump button to release control. Gain permanent Spirit Power for each enemy hero killed with Guided Owl.</t>
        </is>
      </c>
    </row>
    <row r="115">
      <c r="A115" t="inlineStr">
        <is>
          <t>Grey Talon</t>
        </is>
      </c>
      <c r="B115" t="inlineStr">
        <is>
          <t>Guided Owl</t>
        </is>
      </c>
      <c r="C115" t="inlineStr">
        <is>
          <t>Engage</t>
        </is>
      </c>
      <c r="D115" t="inlineStr">
        <is>
          <t>Pick</t>
        </is>
      </c>
      <c r="E115" t="inlineStr">
        <is>
          <t>After 1.5s cast time, launch a spirit owl that you control and which explodes on impact, damaging and stunning enemies. Hold Move Forward button to accelerate the owl. Press Jump button to release control. Gain permanent Spirit Power for each enemy hero killed with Guided Owl.</t>
        </is>
      </c>
    </row>
    <row r="116">
      <c r="A116" t="inlineStr">
        <is>
          <t>Grey Talon</t>
        </is>
      </c>
      <c r="B116" t="inlineStr">
        <is>
          <t>Guided Owl</t>
        </is>
      </c>
      <c r="C116" t="inlineStr">
        <is>
          <t>Pick</t>
        </is>
      </c>
      <c r="D116" t="inlineStr">
        <is>
          <t>Pick</t>
        </is>
      </c>
      <c r="E116" t="inlineStr">
        <is>
          <t>After 1.5s cast time, launch a spirit owl that you control and which explodes on impact, damaging and stunning enemies. Hold Move Forward button to accelerate the owl. Press Jump button to release control. Gain permanent Spirit Power for each enemy hero killed with Guided Owl.</t>
        </is>
      </c>
    </row>
    <row r="117">
      <c r="A117" t="inlineStr">
        <is>
          <t>Grey Talon</t>
        </is>
      </c>
      <c r="B117" t="inlineStr">
        <is>
          <t>Guided Owl</t>
        </is>
      </c>
      <c r="C117" t="inlineStr">
        <is>
          <t>Utility</t>
        </is>
      </c>
      <c r="D117" t="inlineStr">
        <is>
          <t>Utility</t>
        </is>
      </c>
      <c r="E117" t="inlineStr">
        <is>
          <t>After 1.5s cast time, launch a spirit owl that you control and which explodes on impact, damaging and stunning enemies. Hold Move Forward button to accelerate the owl. Press Jump button to release control. Gain permanent Spirit Power for each enemy hero killed with Guided Owl.</t>
        </is>
      </c>
    </row>
    <row r="118">
      <c r="A118" t="inlineStr">
        <is>
          <t>Haze</t>
        </is>
      </c>
      <c r="B118" t="inlineStr">
        <is>
          <t>Sleep Dagger</t>
        </is>
      </c>
      <c r="C118" t="inlineStr">
        <is>
          <t>Damage</t>
        </is>
      </c>
      <c r="D118" t="inlineStr">
        <is>
          <t>Damage</t>
        </is>
      </c>
      <c r="E118" t="inlineStr">
        <is>
          <t>Throw a dagger that damages and sleeps the target. Sleeping targets wake up shortly after being damaged. Throwing a Dagger does not break your invisibility. Sleep Dagger does not interrupt enemies' channeling abilities.</t>
        </is>
      </c>
    </row>
    <row r="119">
      <c r="A119" t="inlineStr">
        <is>
          <t>Haze</t>
        </is>
      </c>
      <c r="B119" t="inlineStr">
        <is>
          <t>Sleep Dagger</t>
        </is>
      </c>
      <c r="C119" t="inlineStr">
        <is>
          <t>Pick</t>
        </is>
      </c>
      <c r="D119" t="inlineStr">
        <is>
          <t>Pick</t>
        </is>
      </c>
      <c r="E119" t="inlineStr">
        <is>
          <t>Throw a dagger that damages and sleeps the target. Sleeping targets wake up shortly after being damaged. Throwing a Dagger does not break your invisibility. Sleep Dagger does not interrupt enemies' channeling abilities.</t>
        </is>
      </c>
    </row>
    <row r="120">
      <c r="A120" t="inlineStr">
        <is>
          <t>Haze</t>
        </is>
      </c>
      <c r="B120" t="inlineStr">
        <is>
          <t>Smoke Bomb</t>
        </is>
      </c>
      <c r="C120" t="inlineStr">
        <is>
          <t>Damage</t>
        </is>
      </c>
      <c r="D120" t="inlineStr">
        <is>
          <t>Damage</t>
        </is>
      </c>
      <c r="E120" t="inlineStr">
        <is>
          <t>Fade out of sight, becoming invisible and gaining sprint speed. Attacking removes invisibility, but using items does not. Close enemies can see through your invisibility.</t>
        </is>
      </c>
    </row>
    <row r="121">
      <c r="A121" t="inlineStr">
        <is>
          <t>Haze</t>
        </is>
      </c>
      <c r="B121" t="inlineStr">
        <is>
          <t>Smoke Bomb</t>
        </is>
      </c>
      <c r="C121" t="inlineStr">
        <is>
          <t>Utility</t>
        </is>
      </c>
      <c r="D121" t="inlineStr">
        <is>
          <t>Utility</t>
        </is>
      </c>
      <c r="E121" t="inlineStr">
        <is>
          <t>Fade out of sight, becoming invisible and gaining sprint speed. Attacking removes invisibility, but using items does not. Close enemies can see through your invisibility.</t>
        </is>
      </c>
    </row>
    <row r="122">
      <c r="A122" t="inlineStr">
        <is>
          <t>Haze</t>
        </is>
      </c>
      <c r="B122" t="inlineStr">
        <is>
          <t>Fixation</t>
        </is>
      </c>
      <c r="C122" t="inlineStr">
        <is>
          <t>Damage</t>
        </is>
      </c>
      <c r="D122" t="inlineStr">
        <is>
          <t>Damage</t>
        </is>
      </c>
      <c r="E122" t="inlineStr">
        <is>
          <t>Shooting a target increases your bullet damage on that target. Gain one stack per bullet hit, two if the hit is a headshot.</t>
        </is>
      </c>
    </row>
    <row r="123">
      <c r="A123" t="inlineStr">
        <is>
          <t>Haze</t>
        </is>
      </c>
      <c r="B123" t="inlineStr">
        <is>
          <t>Bullet Dance</t>
        </is>
      </c>
      <c r="C123" t="inlineStr">
        <is>
          <t>Damage</t>
        </is>
      </c>
      <c r="D123" t="inlineStr">
        <is>
          <t>Damage</t>
        </is>
      </c>
      <c r="E123" t="inlineStr">
        <is>
          <t>Enter a flurry, firing your weapon at nearby enemies with perfect accuracy and added Bullet Damage.</t>
        </is>
      </c>
    </row>
    <row r="124">
      <c r="A124" t="inlineStr">
        <is>
          <t>Holliday</t>
        </is>
      </c>
      <c r="B124" t="inlineStr">
        <is>
          <t>Powder Keg</t>
        </is>
      </c>
      <c r="C124" t="inlineStr">
        <is>
          <t>Damage</t>
        </is>
      </c>
      <c r="D124" t="inlineStr">
        <is>
          <t>Damage</t>
        </is>
      </c>
      <c r="E124" t="inlineStr">
        <is>
          <t>Throw a barrel that explodes after a delay, dealing  spirit damage and applying  knockup. The barrel can be detonated early by being shot, melee'd, or detonated by another barrel.</t>
        </is>
      </c>
    </row>
    <row r="125">
      <c r="A125" t="inlineStr">
        <is>
          <t>Holliday</t>
        </is>
      </c>
      <c r="B125" t="inlineStr">
        <is>
          <t>Powder Keg</t>
        </is>
      </c>
      <c r="C125" t="inlineStr">
        <is>
          <t>Pick</t>
        </is>
      </c>
      <c r="D125" t="inlineStr">
        <is>
          <t>Pick</t>
        </is>
      </c>
      <c r="E125" t="inlineStr">
        <is>
          <t>Throw a barrel that explodes after a delay, dealing  spirit damage and applying  knockup. The barrel can be detonated early by being shot, melee'd, or detonated by another barrel.</t>
        </is>
      </c>
    </row>
    <row r="126">
      <c r="A126" t="inlineStr">
        <is>
          <t>Holliday</t>
        </is>
      </c>
      <c r="B126" t="inlineStr">
        <is>
          <t>Bounce Pad</t>
        </is>
      </c>
      <c r="C126" t="inlineStr">
        <is>
          <t>Damage</t>
        </is>
      </c>
      <c r="D126" t="inlineStr">
        <is>
          <t>Damage</t>
        </is>
      </c>
      <c r="E126" t="inlineStr">
        <is>
          <t>Drop a bounce pad in the world that launches any hero. You explode on landing, dealing  Damage to any nearby enemies. The explosion can only occur once per Bounce Pad.</t>
        </is>
      </c>
    </row>
    <row r="127">
      <c r="A127" t="inlineStr">
        <is>
          <t>Holliday</t>
        </is>
      </c>
      <c r="B127" t="inlineStr">
        <is>
          <t>Bounce Pad</t>
        </is>
      </c>
      <c r="C127" t="inlineStr">
        <is>
          <t>Engage</t>
        </is>
      </c>
      <c r="D127" t="inlineStr">
        <is>
          <t>Pick</t>
        </is>
      </c>
      <c r="E127" t="inlineStr">
        <is>
          <t>Drop a bounce pad in the world that launches any hero. You explode on landing, dealing  Damage to any nearby enemies. The explosion can only occur once per Bounce Pad.</t>
        </is>
      </c>
    </row>
    <row r="128">
      <c r="A128" t="inlineStr">
        <is>
          <t>Holliday</t>
        </is>
      </c>
      <c r="B128" t="inlineStr">
        <is>
          <t>Spirit Lasso</t>
        </is>
      </c>
      <c r="C128" t="inlineStr">
        <is>
          <t>Damage</t>
        </is>
      </c>
      <c r="D128" t="inlineStr">
        <is>
          <t>Damage</t>
        </is>
      </c>
      <c r="E128" t="inlineStr">
        <is>
          <t>Throw out your lasso, dealing  spirit damage,  pulling, and applying  stun. Using a Bounce Pad extends the duration of Spirit Lasso.</t>
        </is>
      </c>
    </row>
    <row r="129">
      <c r="A129" t="inlineStr">
        <is>
          <t>Holliday</t>
        </is>
      </c>
      <c r="B129" t="inlineStr">
        <is>
          <t>Spirit Lasso</t>
        </is>
      </c>
      <c r="C129" t="inlineStr">
        <is>
          <t>Pick</t>
        </is>
      </c>
      <c r="D129" t="inlineStr">
        <is>
          <t>Pick</t>
        </is>
      </c>
      <c r="E129" t="inlineStr">
        <is>
          <t>Throw out your lasso, dealing  spirit damage,  pulling, and applying  stun. Using a Bounce Pad extends the duration of Spirit Lasso.</t>
        </is>
      </c>
    </row>
    <row r="130">
      <c r="A130" t="inlineStr">
        <is>
          <t>Holliday</t>
        </is>
      </c>
      <c r="B130" t="inlineStr">
        <is>
          <t>Crackshot</t>
        </is>
      </c>
      <c r="C130" t="inlineStr">
        <is>
          <t>Damage</t>
        </is>
      </c>
      <c r="D130" t="inlineStr">
        <is>
          <t>Damage</t>
        </is>
      </c>
      <c r="E130" t="inlineStr">
        <is>
          <t>Headshots deal bonus  Damage and applies a  Fading Move Speed penalty. This effect can only occur when off cooldown. Cooldown is reduced by 50% on NPC hits. Crackshot ignores range damage fall-off and does not apply to objectives.</t>
        </is>
      </c>
    </row>
    <row r="131">
      <c r="A131" t="inlineStr">
        <is>
          <t>Holliday</t>
        </is>
      </c>
      <c r="B131" t="inlineStr">
        <is>
          <t>Crackshot</t>
        </is>
      </c>
      <c r="C131" t="inlineStr">
        <is>
          <t>Utility</t>
        </is>
      </c>
      <c r="D131" t="inlineStr">
        <is>
          <t>Utility</t>
        </is>
      </c>
      <c r="E131" t="inlineStr">
        <is>
          <t>Headshots deal bonus  Damage and applies a  Fading Move Speed penalty. This effect can only occur when off cooldown. Cooldown is reduced by 50% on NPC hits. Crackshot ignores range damage fall-off and does not apply to objectives.</t>
        </is>
      </c>
    </row>
    <row r="132">
      <c r="A132" t="inlineStr">
        <is>
          <t>Infernus</t>
        </is>
      </c>
      <c r="B132" t="inlineStr">
        <is>
          <t>Concussive Combustion</t>
        </is>
      </c>
      <c r="C132" t="inlineStr">
        <is>
          <t>Damage</t>
        </is>
      </c>
      <c r="D132" t="inlineStr">
        <is>
          <t>Damage</t>
        </is>
      </c>
      <c r="E132" t="inlineStr">
        <is>
          <t>Become a living bomb, dealing  spirit damage and applying  stun to all nearby enemies after a delay. Once cast, Concussive Combustion cannot be interrupted.</t>
        </is>
      </c>
    </row>
    <row r="133">
      <c r="A133" t="inlineStr">
        <is>
          <t>Infernus</t>
        </is>
      </c>
      <c r="B133" t="inlineStr">
        <is>
          <t>Concussive Combustion</t>
        </is>
      </c>
      <c r="C133" t="inlineStr">
        <is>
          <t>Pick</t>
        </is>
      </c>
      <c r="D133" t="inlineStr">
        <is>
          <t>Pick</t>
        </is>
      </c>
      <c r="E133" t="inlineStr">
        <is>
          <t>Become a living bomb, dealing  spirit damage and applying  stun to all nearby enemies after a delay. Once cast, Concussive Combustion cannot be interrupted.</t>
        </is>
      </c>
    </row>
    <row r="134">
      <c r="A134" t="inlineStr">
        <is>
          <t>Infernus</t>
        </is>
      </c>
      <c r="B134" t="inlineStr">
        <is>
          <t>Flame Dash</t>
        </is>
      </c>
      <c r="C134" t="inlineStr">
        <is>
          <t>Damage</t>
        </is>
      </c>
      <c r="D134" t="inlineStr">
        <is>
          <t>Damage</t>
        </is>
      </c>
      <c r="E134" t="inlineStr">
        <is>
          <t>Dash forward, gaining slow resistance while leaving a flaming trail that deals  spirit damage over time. Hold Move Forward button while active to dash farther.</t>
        </is>
      </c>
    </row>
    <row r="135">
      <c r="A135" t="inlineStr">
        <is>
          <t>Infernus</t>
        </is>
      </c>
      <c r="B135" t="inlineStr">
        <is>
          <t>Flame Dash</t>
        </is>
      </c>
      <c r="C135" t="inlineStr">
        <is>
          <t>Engage</t>
        </is>
      </c>
      <c r="D135" t="inlineStr">
        <is>
          <t>Pick</t>
        </is>
      </c>
      <c r="E135" t="inlineStr">
        <is>
          <t>Dash forward, gaining slow resistance while leaving a flaming trail that deals  spirit damage over time. Hold Move Forward button while active to dash farther.</t>
        </is>
      </c>
    </row>
    <row r="136">
      <c r="A136" t="inlineStr">
        <is>
          <t>Infernus</t>
        </is>
      </c>
      <c r="B136" t="inlineStr">
        <is>
          <t>Flame Dash</t>
        </is>
      </c>
      <c r="C136" t="inlineStr">
        <is>
          <t>Pick</t>
        </is>
      </c>
      <c r="D136" t="inlineStr">
        <is>
          <t>Pick</t>
        </is>
      </c>
      <c r="E136" t="inlineStr">
        <is>
          <t>Dash forward, gaining slow resistance while leaving a flaming trail that deals  spirit damage over time. Hold Move Forward button while active to dash farther.</t>
        </is>
      </c>
    </row>
    <row r="137">
      <c r="A137" t="inlineStr">
        <is>
          <t>Infernus</t>
        </is>
      </c>
      <c r="B137" t="inlineStr">
        <is>
          <t>Flame Dash</t>
        </is>
      </c>
      <c r="C137" t="inlineStr">
        <is>
          <t>Tank</t>
        </is>
      </c>
      <c r="D137" t="inlineStr">
        <is>
          <t>Tank</t>
        </is>
      </c>
      <c r="E137" t="inlineStr">
        <is>
          <t>Dash forward, gaining slow resistance while leaving a flaming trail that deals  spirit damage over time. Hold Move Forward button while active to dash farther.</t>
        </is>
      </c>
    </row>
    <row r="138">
      <c r="A138" t="inlineStr">
        <is>
          <t>Infernus</t>
        </is>
      </c>
      <c r="B138" t="inlineStr">
        <is>
          <t>Flame Dash</t>
        </is>
      </c>
      <c r="C138" t="inlineStr">
        <is>
          <t>Utility</t>
        </is>
      </c>
      <c r="D138" t="inlineStr">
        <is>
          <t>Utility</t>
        </is>
      </c>
      <c r="E138" t="inlineStr">
        <is>
          <t>Dash forward, gaining slow resistance while leaving a flaming trail that deals  spirit damage over time. Hold Move Forward button while active to dash farther.</t>
        </is>
      </c>
    </row>
    <row r="139">
      <c r="A139" t="inlineStr">
        <is>
          <t>Infernus</t>
        </is>
      </c>
      <c r="B139" t="inlineStr">
        <is>
          <t>Napalm</t>
        </is>
      </c>
      <c r="C139" t="inlineStr">
        <is>
          <t>Damage</t>
        </is>
      </c>
      <c r="D139" t="inlineStr">
        <is>
          <t>Damage</t>
        </is>
      </c>
      <c r="E139" t="inlineStr">
        <is>
          <t>Spew an incendiary mixture, dealing  spirit damage, applying slow, and coating targets in napalm.</t>
        </is>
      </c>
    </row>
    <row r="140">
      <c r="A140" t="inlineStr">
        <is>
          <t>Infernus</t>
        </is>
      </c>
      <c r="B140" t="inlineStr">
        <is>
          <t>Napalm</t>
        </is>
      </c>
      <c r="C140" t="inlineStr">
        <is>
          <t>Pick</t>
        </is>
      </c>
      <c r="D140" t="inlineStr">
        <is>
          <t>Pick</t>
        </is>
      </c>
      <c r="E140" t="inlineStr">
        <is>
          <t>Spew an incendiary mixture, dealing  spirit damage, applying slow, and coating targets in napalm.</t>
        </is>
      </c>
    </row>
    <row r="141">
      <c r="A141" t="inlineStr">
        <is>
          <t>Infernus</t>
        </is>
      </c>
      <c r="B141" t="inlineStr">
        <is>
          <t>Napalm</t>
        </is>
      </c>
      <c r="C141" t="inlineStr">
        <is>
          <t>Utility</t>
        </is>
      </c>
      <c r="D141" t="inlineStr">
        <is>
          <t>Utility</t>
        </is>
      </c>
      <c r="E141" t="inlineStr">
        <is>
          <t>Spew an incendiary mixture, dealing  spirit damage, applying slow, and coating targets in napalm.</t>
        </is>
      </c>
    </row>
    <row r="142">
      <c r="A142" t="inlineStr">
        <is>
          <t>Infernus</t>
        </is>
      </c>
      <c r="B142" t="inlineStr">
        <is>
          <t>Afterburn</t>
        </is>
      </c>
      <c r="C142" t="inlineStr">
        <is>
          <t>Damage</t>
        </is>
      </c>
      <c r="D142" t="inlineStr">
        <is>
          <t>Damage</t>
        </is>
      </c>
      <c r="E142" t="inlineStr">
        <is>
          <t>Weapon hits build up a burning effect, dealing  spirit damage over time. Bullets and abilities refresh the burn duration.</t>
        </is>
      </c>
    </row>
    <row r="143">
      <c r="A143" t="inlineStr">
        <is>
          <t>Ivy</t>
        </is>
      </c>
      <c r="B143" t="inlineStr">
        <is>
          <t>Watcher's Covenant</t>
        </is>
      </c>
      <c r="C143" t="inlineStr">
        <is>
          <t>Damage</t>
        </is>
      </c>
      <c r="D143" t="inlineStr">
        <is>
          <t>Damage</t>
        </is>
      </c>
      <c r="E143" t="inlineStr">
        <is>
          <t>Gain bonuses and automatically connect with a nearby ally to share them.  healing is replicated among all those connected. Removes shooting  move speed penalty. Press Ability 2 button to Lock on to a target. Connection requires line of sight.</t>
        </is>
      </c>
    </row>
    <row r="144">
      <c r="A144" t="inlineStr">
        <is>
          <t>Ivy</t>
        </is>
      </c>
      <c r="B144" t="inlineStr">
        <is>
          <t>Watcher's Covenant</t>
        </is>
      </c>
      <c r="C144" t="inlineStr">
        <is>
          <t>Sustain</t>
        </is>
      </c>
      <c r="D144" t="inlineStr">
        <is>
          <t>Utility</t>
        </is>
      </c>
      <c r="E144" t="inlineStr">
        <is>
          <t>Gain bonuses and automatically connect with a nearby ally to share them.  healing is replicated among all those connected. Removes shooting  move speed penalty. Press Ability 2 button to Lock on to a target. Connection requires line of sight.</t>
        </is>
      </c>
    </row>
    <row r="145">
      <c r="A145" t="inlineStr">
        <is>
          <t>Ivy</t>
        </is>
      </c>
      <c r="B145" t="inlineStr">
        <is>
          <t>Watcher's Covenant</t>
        </is>
      </c>
      <c r="C145" t="inlineStr">
        <is>
          <t>Utility</t>
        </is>
      </c>
      <c r="D145" t="inlineStr">
        <is>
          <t>Utility</t>
        </is>
      </c>
      <c r="E145" t="inlineStr">
        <is>
          <t>Gain bonuses and automatically connect with a nearby ally to share them.  healing is replicated among all those connected. Removes shooting  move speed penalty. Press Ability 2 button to Lock on to a target. Connection requires line of sight.</t>
        </is>
      </c>
    </row>
    <row r="146">
      <c r="A146" t="inlineStr">
        <is>
          <t>Ivy</t>
        </is>
      </c>
      <c r="B146" t="inlineStr">
        <is>
          <t>Kudzu Bomb</t>
        </is>
      </c>
      <c r="C146" t="inlineStr">
        <is>
          <t>Damage</t>
        </is>
      </c>
      <c r="D146" t="inlineStr">
        <is>
          <t>Damage</t>
        </is>
      </c>
      <c r="E146" t="inlineStr">
        <is>
          <t>Summon a patch of choking vines that damages and slows enemies in its radius.</t>
        </is>
      </c>
    </row>
    <row r="147">
      <c r="A147" t="inlineStr">
        <is>
          <t>Ivy</t>
        </is>
      </c>
      <c r="B147" t="inlineStr">
        <is>
          <t>Kudzu Bomb</t>
        </is>
      </c>
      <c r="C147" t="inlineStr">
        <is>
          <t>Pick</t>
        </is>
      </c>
      <c r="D147" t="inlineStr">
        <is>
          <t>Pick</t>
        </is>
      </c>
      <c r="E147" t="inlineStr">
        <is>
          <t>Summon a patch of choking vines that damages and slows enemies in its radius.</t>
        </is>
      </c>
    </row>
    <row r="148">
      <c r="A148" t="inlineStr">
        <is>
          <t>Ivy</t>
        </is>
      </c>
      <c r="B148" t="inlineStr">
        <is>
          <t>Kudzu Bomb</t>
        </is>
      </c>
      <c r="C148" t="inlineStr">
        <is>
          <t>Utility</t>
        </is>
      </c>
      <c r="D148" t="inlineStr">
        <is>
          <t>Utility</t>
        </is>
      </c>
      <c r="E148" t="inlineStr">
        <is>
          <t>Summon a patch of choking vines that damages and slows enemies in its radius.</t>
        </is>
      </c>
    </row>
    <row r="149">
      <c r="A149" t="inlineStr">
        <is>
          <t>Ivy</t>
        </is>
      </c>
      <c r="B149" t="inlineStr">
        <is>
          <t>Stone Form</t>
        </is>
      </c>
      <c r="C149" t="inlineStr">
        <is>
          <t>Pick</t>
        </is>
      </c>
      <c r="D149" t="inlineStr">
        <is>
          <t>Pick</t>
        </is>
      </c>
      <c r="E149" t="inlineStr">
        <is>
          <t>Turn yourself into impervious stone and smash into the ground, stunning and damaging enemies nearby. Heals you for a percentage of your max health. You have some air control before falling.</t>
        </is>
      </c>
    </row>
    <row r="150">
      <c r="A150" t="inlineStr">
        <is>
          <t>Ivy</t>
        </is>
      </c>
      <c r="B150" t="inlineStr">
        <is>
          <t>Stone Form</t>
        </is>
      </c>
      <c r="C150" t="inlineStr">
        <is>
          <t>Sustain</t>
        </is>
      </c>
      <c r="D150" t="inlineStr">
        <is>
          <t>Utility</t>
        </is>
      </c>
      <c r="E150" t="inlineStr">
        <is>
          <t>Turn yourself into impervious stone and smash into the ground, stunning and damaging enemies nearby. Heals you for a percentage of your max health. You have some air control before falling.</t>
        </is>
      </c>
    </row>
    <row r="151">
      <c r="A151" t="inlineStr">
        <is>
          <t>Ivy</t>
        </is>
      </c>
      <c r="B151" t="inlineStr">
        <is>
          <t>Stone Form</t>
        </is>
      </c>
      <c r="C151" t="inlineStr">
        <is>
          <t>Tank</t>
        </is>
      </c>
      <c r="D151" t="inlineStr">
        <is>
          <t>Tank</t>
        </is>
      </c>
      <c r="E151" t="inlineStr">
        <is>
          <t>Turn yourself into impervious stone and smash into the ground, stunning and damaging enemies nearby. Heals you for a percentage of your max health. You have some air control before falling.</t>
        </is>
      </c>
    </row>
    <row r="152">
      <c r="A152" t="inlineStr">
        <is>
          <t>Ivy</t>
        </is>
      </c>
      <c r="B152" t="inlineStr">
        <is>
          <t>Stone Form</t>
        </is>
      </c>
      <c r="C152" t="inlineStr">
        <is>
          <t>Utility</t>
        </is>
      </c>
      <c r="D152" t="inlineStr">
        <is>
          <t>Utility</t>
        </is>
      </c>
      <c r="E152" t="inlineStr">
        <is>
          <t>Turn yourself into impervious stone and smash into the ground, stunning and damaging enemies nearby. Heals you for a percentage of your max health. You have some air control before falling.</t>
        </is>
      </c>
    </row>
    <row r="153">
      <c r="A153" t="inlineStr">
        <is>
          <t>Ivy</t>
        </is>
      </c>
      <c r="B153" t="inlineStr">
        <is>
          <t>Air Drop</t>
        </is>
      </c>
      <c r="C153" t="inlineStr">
        <is>
          <t>Damage</t>
        </is>
      </c>
      <c r="D153" t="inlineStr">
        <is>
          <t>Damage</t>
        </is>
      </c>
      <c r="E153" t="inlineStr">
        <is>
          <t>Grab an ally and take flight with them. Drop your ally to cause an explosion, dealing  spirit damage and applying slow and  knockup. You and your ally gain a Barrier when flying ends. While lifted, your ally cannot attack and deals -20% damage. Alternate Cast lets you fly without an ally, carrying a bomb instead. Fire button to drop ally/bomb. Move Forward button to fly faster. Hold Fly Down button during cast to reduce launch height</t>
        </is>
      </c>
    </row>
    <row r="154">
      <c r="A154" t="inlineStr">
        <is>
          <t>Ivy</t>
        </is>
      </c>
      <c r="B154" t="inlineStr">
        <is>
          <t>Air Drop</t>
        </is>
      </c>
      <c r="C154" t="inlineStr">
        <is>
          <t>Engage</t>
        </is>
      </c>
      <c r="D154" t="inlineStr">
        <is>
          <t>Pick</t>
        </is>
      </c>
      <c r="E154" t="inlineStr">
        <is>
          <t>Grab an ally and take flight with them. Drop your ally to cause an explosion, dealing  spirit damage and applying slow and  knockup. You and your ally gain a Barrier when flying ends. While lifted, your ally cannot attack and deals -20% damage. Alternate Cast lets you fly without an ally, carrying a bomb instead. Fire button to drop ally/bomb. Move Forward button to fly faster. Hold Fly Down button during cast to reduce launch height</t>
        </is>
      </c>
    </row>
    <row r="155">
      <c r="A155" t="inlineStr">
        <is>
          <t>Ivy</t>
        </is>
      </c>
      <c r="B155" t="inlineStr">
        <is>
          <t>Air Drop</t>
        </is>
      </c>
      <c r="C155" t="inlineStr">
        <is>
          <t>Pick</t>
        </is>
      </c>
      <c r="D155" t="inlineStr">
        <is>
          <t>Pick</t>
        </is>
      </c>
      <c r="E155" t="inlineStr">
        <is>
          <t>Grab an ally and take flight with them. Drop your ally to cause an explosion, dealing  spirit damage and applying slow and  knockup. You and your ally gain a Barrier when flying ends. While lifted, your ally cannot attack and deals -20% damage. Alternate Cast lets you fly without an ally, carrying a bomb instead. Fire button to drop ally/bomb. Move Forward button to fly faster. Hold Fly Down button during cast to reduce launch height</t>
        </is>
      </c>
    </row>
    <row r="156">
      <c r="A156" t="inlineStr">
        <is>
          <t>Ivy</t>
        </is>
      </c>
      <c r="B156" t="inlineStr">
        <is>
          <t>Air Drop</t>
        </is>
      </c>
      <c r="C156" t="inlineStr">
        <is>
          <t>Tank</t>
        </is>
      </c>
      <c r="D156" t="inlineStr">
        <is>
          <t>Tank</t>
        </is>
      </c>
      <c r="E156" t="inlineStr">
        <is>
          <t>Grab an ally and take flight with them. Drop your ally to cause an explosion, dealing  spirit damage and applying slow and  knockup. You and your ally gain a Barrier when flying ends. While lifted, your ally cannot attack and deals -20% damage. Alternate Cast lets you fly without an ally, carrying a bomb instead. Fire button to drop ally/bomb. Move Forward button to fly faster. Hold Fly Down button during cast to reduce launch height</t>
        </is>
      </c>
    </row>
    <row r="157">
      <c r="A157" t="inlineStr">
        <is>
          <t>Ivy</t>
        </is>
      </c>
      <c r="B157" t="inlineStr">
        <is>
          <t>Air Drop</t>
        </is>
      </c>
      <c r="C157" t="inlineStr">
        <is>
          <t>Utility</t>
        </is>
      </c>
      <c r="D157" t="inlineStr">
        <is>
          <t>Utility</t>
        </is>
      </c>
      <c r="E157" t="inlineStr">
        <is>
          <t>Grab an ally and take flight with them. Drop your ally to cause an explosion, dealing  spirit damage and applying slow and  knockup. You and your ally gain a Barrier when flying ends. While lifted, your ally cannot attack and deals -20% damage. Alternate Cast lets you fly without an ally, carrying a bomb instead. Fire button to drop ally/bomb. Move Forward button to fly faster. Hold Fly Down button during cast to reduce launch height</t>
        </is>
      </c>
    </row>
    <row r="158">
      <c r="A158" t="inlineStr">
        <is>
          <t>Kelvin</t>
        </is>
      </c>
      <c r="B158" t="inlineStr">
        <is>
          <t>Arctic Beam</t>
        </is>
      </c>
      <c r="C158" t="inlineStr">
        <is>
          <t>Damage</t>
        </is>
      </c>
      <c r="D158" t="inlineStr">
        <is>
          <t>Damage</t>
        </is>
      </c>
      <c r="E158" t="inlineStr">
        <is>
          <t>Shoot freezing cold energy out in front of you, damaging targets and progressively reducing their movement and fire rate the longer you sustain the beam on them. You have reduced move speed while using Arctic Beam. The beam may also claim Souls.</t>
        </is>
      </c>
    </row>
    <row r="159">
      <c r="A159" t="inlineStr">
        <is>
          <t>Kelvin</t>
        </is>
      </c>
      <c r="B159" t="inlineStr">
        <is>
          <t>Arctic Beam</t>
        </is>
      </c>
      <c r="C159" t="inlineStr">
        <is>
          <t>Utility</t>
        </is>
      </c>
      <c r="D159" t="inlineStr">
        <is>
          <t>Utility</t>
        </is>
      </c>
      <c r="E159" t="inlineStr">
        <is>
          <t>Shoot freezing cold energy out in front of you, damaging targets and progressively reducing their movement and fire rate the longer you sustain the beam on them. You have reduced move speed while using Arctic Beam. The beam may also claim Souls.</t>
        </is>
      </c>
    </row>
    <row r="160">
      <c r="A160" t="inlineStr">
        <is>
          <t>Kelvin</t>
        </is>
      </c>
      <c r="B160" t="inlineStr">
        <is>
          <t>Ice Path</t>
        </is>
      </c>
      <c r="C160" t="inlineStr">
        <is>
          <t>Engage</t>
        </is>
      </c>
      <c r="D160" t="inlineStr">
        <is>
          <t>Pick</t>
        </is>
      </c>
      <c r="E160" t="inlineStr">
        <is>
          <t>Kelvin creates a floating trail of ice and snow that gives movement bonuses to him and his allies. Kelvin gains 60% slow resistance for the duration. Enemies can also walk on the floating trail. Press Dash button / Crouch button to travel up or down while in Ice Path.</t>
        </is>
      </c>
    </row>
    <row r="161">
      <c r="A161" t="inlineStr">
        <is>
          <t>Kelvin</t>
        </is>
      </c>
      <c r="B161" t="inlineStr">
        <is>
          <t>Ice Path</t>
        </is>
      </c>
      <c r="C161" t="inlineStr">
        <is>
          <t>Pick</t>
        </is>
      </c>
      <c r="D161" t="inlineStr">
        <is>
          <t>Pick</t>
        </is>
      </c>
      <c r="E161" t="inlineStr">
        <is>
          <t>Kelvin creates a floating trail of ice and snow that gives movement bonuses to him and his allies. Kelvin gains 60% slow resistance for the duration. Enemies can also walk on the floating trail. Press Dash button / Crouch button to travel up or down while in Ice Path.</t>
        </is>
      </c>
    </row>
    <row r="162">
      <c r="A162" t="inlineStr">
        <is>
          <t>Kelvin</t>
        </is>
      </c>
      <c r="B162" t="inlineStr">
        <is>
          <t>Ice Path</t>
        </is>
      </c>
      <c r="C162" t="inlineStr">
        <is>
          <t>Tank</t>
        </is>
      </c>
      <c r="D162" t="inlineStr">
        <is>
          <t>Tank</t>
        </is>
      </c>
      <c r="E162" t="inlineStr">
        <is>
          <t>Kelvin creates a floating trail of ice and snow that gives movement bonuses to him and his allies. Kelvin gains 60% slow resistance for the duration. Enemies can also walk on the floating trail. Press Dash button / Crouch button to travel up or down while in Ice Path.</t>
        </is>
      </c>
    </row>
    <row r="163">
      <c r="A163" t="inlineStr">
        <is>
          <t>Kelvin</t>
        </is>
      </c>
      <c r="B163" t="inlineStr">
        <is>
          <t>Ice Path</t>
        </is>
      </c>
      <c r="C163" t="inlineStr">
        <is>
          <t>Utility</t>
        </is>
      </c>
      <c r="D163" t="inlineStr">
        <is>
          <t>Utility</t>
        </is>
      </c>
      <c r="E163" t="inlineStr">
        <is>
          <t>Kelvin creates a floating trail of ice and snow that gives movement bonuses to him and his allies. Kelvin gains 60% slow resistance for the duration. Enemies can also walk on the floating trail. Press Dash button / Crouch button to travel up or down while in Ice Path.</t>
        </is>
      </c>
    </row>
    <row r="164">
      <c r="A164" t="inlineStr">
        <is>
          <t>Kelvin</t>
        </is>
      </c>
      <c r="B164" t="inlineStr">
        <is>
          <t>Frost Grenade</t>
        </is>
      </c>
      <c r="C164" t="inlineStr">
        <is>
          <t>Damage</t>
        </is>
      </c>
      <c r="D164" t="inlineStr">
        <is>
          <t>Damage</t>
        </is>
      </c>
      <c r="E164" t="inlineStr">
        <is>
          <t>Throw a grenade that explodes in a cloud of freezing ice, damaging and reducing the move speed of enemies.</t>
        </is>
      </c>
    </row>
    <row r="165">
      <c r="A165" t="inlineStr">
        <is>
          <t>Kelvin</t>
        </is>
      </c>
      <c r="B165" t="inlineStr">
        <is>
          <t>Frost Grenade</t>
        </is>
      </c>
      <c r="C165" t="inlineStr">
        <is>
          <t>Utility</t>
        </is>
      </c>
      <c r="D165" t="inlineStr">
        <is>
          <t>Utility</t>
        </is>
      </c>
      <c r="E165" t="inlineStr">
        <is>
          <t>Throw a grenade that explodes in a cloud of freezing ice, damaging and reducing the move speed of enemies.</t>
        </is>
      </c>
    </row>
    <row r="166">
      <c r="A166" t="inlineStr">
        <is>
          <t>Kelvin</t>
        </is>
      </c>
      <c r="B166" t="inlineStr">
        <is>
          <t>Frozen Shelter</t>
        </is>
      </c>
      <c r="C166" t="inlineStr">
        <is>
          <t>Pick</t>
        </is>
      </c>
      <c r="D166" t="inlineStr">
        <is>
          <t>Pick</t>
        </is>
      </c>
      <c r="E166" t="inlineStr">
        <is>
          <t>Kelvin freezes the air around him, creating an impenetrable dome around himself. While in the dome, allies rapidly regenerate health and enemies are slowed. Objectives becomes Invulnerable and Frozen under Frozen Shelter.</t>
        </is>
      </c>
    </row>
    <row r="167">
      <c r="A167" t="inlineStr">
        <is>
          <t>Kelvin</t>
        </is>
      </c>
      <c r="B167" t="inlineStr">
        <is>
          <t>Frozen Shelter</t>
        </is>
      </c>
      <c r="C167" t="inlineStr">
        <is>
          <t>Sustain</t>
        </is>
      </c>
      <c r="D167" t="inlineStr">
        <is>
          <t>Utility</t>
        </is>
      </c>
      <c r="E167" t="inlineStr">
        <is>
          <t>Kelvin freezes the air around him, creating an impenetrable dome around himself. While in the dome, allies rapidly regenerate health and enemies are slowed. Objectives becomes Invulnerable and Frozen under Frozen Shelter.</t>
        </is>
      </c>
    </row>
    <row r="168">
      <c r="A168" t="inlineStr">
        <is>
          <t>Kelvin</t>
        </is>
      </c>
      <c r="B168" t="inlineStr">
        <is>
          <t>Frozen Shelter</t>
        </is>
      </c>
      <c r="C168" t="inlineStr">
        <is>
          <t>Tank</t>
        </is>
      </c>
      <c r="D168" t="inlineStr">
        <is>
          <t>Tank</t>
        </is>
      </c>
      <c r="E168" t="inlineStr">
        <is>
          <t>Kelvin freezes the air around him, creating an impenetrable dome around himself. While in the dome, allies rapidly regenerate health and enemies are slowed. Objectives becomes Invulnerable and Frozen under Frozen Shelter.</t>
        </is>
      </c>
    </row>
    <row r="169">
      <c r="A169" t="inlineStr">
        <is>
          <t>Kelvin</t>
        </is>
      </c>
      <c r="B169" t="inlineStr">
        <is>
          <t>Frozen Shelter</t>
        </is>
      </c>
      <c r="C169" t="inlineStr">
        <is>
          <t>Utility</t>
        </is>
      </c>
      <c r="D169" t="inlineStr">
        <is>
          <t>Utility</t>
        </is>
      </c>
      <c r="E169" t="inlineStr">
        <is>
          <t>Kelvin freezes the air around him, creating an impenetrable dome around himself. While in the dome, allies rapidly regenerate health and enemies are slowed. Objectives becomes Invulnerable and Frozen under Frozen Shelter.</t>
        </is>
      </c>
    </row>
    <row r="170">
      <c r="A170" t="inlineStr">
        <is>
          <t>Lady Geist</t>
        </is>
      </c>
      <c r="B170" t="inlineStr">
        <is>
          <t>Essence Bomb</t>
        </is>
      </c>
      <c r="C170" t="inlineStr">
        <is>
          <t>Damage</t>
        </is>
      </c>
      <c r="D170" t="inlineStr">
        <is>
          <t>Damage</t>
        </is>
      </c>
      <c r="E170" t="inlineStr">
        <is>
          <t>Sacrifice some of your health to launch a bomb that deals damage after a brief arm time. Self damage type is Spirit and can be mitigated.</t>
        </is>
      </c>
    </row>
    <row r="171">
      <c r="A171" t="inlineStr">
        <is>
          <t>Lady Geist</t>
        </is>
      </c>
      <c r="B171" t="inlineStr">
        <is>
          <t>Essence Bomb</t>
        </is>
      </c>
      <c r="C171" t="inlineStr">
        <is>
          <t>Engage</t>
        </is>
      </c>
      <c r="D171" t="inlineStr">
        <is>
          <t>Pick</t>
        </is>
      </c>
      <c r="E171" t="inlineStr">
        <is>
          <t>Sacrifice some of your health to launch a bomb that deals damage after a brief arm time. Self damage type is Spirit and can be mitigated.</t>
        </is>
      </c>
    </row>
    <row r="172">
      <c r="A172" t="inlineStr">
        <is>
          <t>Lady Geist</t>
        </is>
      </c>
      <c r="B172" t="inlineStr">
        <is>
          <t>Essence Bomb</t>
        </is>
      </c>
      <c r="C172" t="inlineStr">
        <is>
          <t>Sustain</t>
        </is>
      </c>
      <c r="D172" t="inlineStr">
        <is>
          <t>Utility</t>
        </is>
      </c>
      <c r="E172" t="inlineStr">
        <is>
          <t>Sacrifice some of your health to launch a bomb that deals damage after a brief arm time. Self damage type is Spirit and can be mitigated.</t>
        </is>
      </c>
    </row>
    <row r="173">
      <c r="A173" t="inlineStr">
        <is>
          <t>Lady Geist</t>
        </is>
      </c>
      <c r="B173" t="inlineStr">
        <is>
          <t>Essence Bomb</t>
        </is>
      </c>
      <c r="C173" t="inlineStr">
        <is>
          <t>Tank</t>
        </is>
      </c>
      <c r="D173" t="inlineStr">
        <is>
          <t>Tank</t>
        </is>
      </c>
      <c r="E173" t="inlineStr">
        <is>
          <t>Sacrifice some of your health to launch a bomb that deals damage after a brief arm time. Self damage type is Spirit and can be mitigated.</t>
        </is>
      </c>
    </row>
    <row r="174">
      <c r="A174" t="inlineStr">
        <is>
          <t>Lady Geist</t>
        </is>
      </c>
      <c r="B174" t="inlineStr">
        <is>
          <t>Essence Bomb</t>
        </is>
      </c>
      <c r="C174" t="inlineStr">
        <is>
          <t>Utility</t>
        </is>
      </c>
      <c r="D174" t="inlineStr">
        <is>
          <t>Utility</t>
        </is>
      </c>
      <c r="E174" t="inlineStr">
        <is>
          <t>Sacrifice some of your health to launch a bomb that deals damage after a brief arm time. Self damage type is Spirit and can be mitigated.</t>
        </is>
      </c>
    </row>
    <row r="175">
      <c r="A175" t="inlineStr">
        <is>
          <t>Lady Geist</t>
        </is>
      </c>
      <c r="B175" t="inlineStr">
        <is>
          <t>Malice</t>
        </is>
      </c>
      <c r="C175" t="inlineStr">
        <is>
          <t>Damage</t>
        </is>
      </c>
      <c r="D175" t="inlineStr">
        <is>
          <t>Damage</t>
        </is>
      </c>
      <c r="E175" t="inlineStr">
        <is>
          <t>Sacrifice some of your health to launch blood shards that apply a stack of Malice. Each stack slows the victim and increases the damage they take from you. The slow effect decreases over time.</t>
        </is>
      </c>
    </row>
    <row r="176">
      <c r="A176" t="inlineStr">
        <is>
          <t>Lady Geist</t>
        </is>
      </c>
      <c r="B176" t="inlineStr">
        <is>
          <t>Malice</t>
        </is>
      </c>
      <c r="C176" t="inlineStr">
        <is>
          <t>Engage</t>
        </is>
      </c>
      <c r="D176" t="inlineStr">
        <is>
          <t>Pick</t>
        </is>
      </c>
      <c r="E176" t="inlineStr">
        <is>
          <t>Sacrifice some of your health to launch blood shards that apply a stack of Malice. Each stack slows the victim and increases the damage they take from you. The slow effect decreases over time.</t>
        </is>
      </c>
    </row>
    <row r="177">
      <c r="A177" t="inlineStr">
        <is>
          <t>Lady Geist</t>
        </is>
      </c>
      <c r="B177" t="inlineStr">
        <is>
          <t>Malice</t>
        </is>
      </c>
      <c r="C177" t="inlineStr">
        <is>
          <t>Pick</t>
        </is>
      </c>
      <c r="D177" t="inlineStr">
        <is>
          <t>Pick</t>
        </is>
      </c>
      <c r="E177" t="inlineStr">
        <is>
          <t>Sacrifice some of your health to launch blood shards that apply a stack of Malice. Each stack slows the victim and increases the damage they take from you. The slow effect decreases over time.</t>
        </is>
      </c>
    </row>
    <row r="178">
      <c r="A178" t="inlineStr">
        <is>
          <t>Lady Geist</t>
        </is>
      </c>
      <c r="B178" t="inlineStr">
        <is>
          <t>Malice</t>
        </is>
      </c>
      <c r="C178" t="inlineStr">
        <is>
          <t>Sustain</t>
        </is>
      </c>
      <c r="D178" t="inlineStr">
        <is>
          <t>Utility</t>
        </is>
      </c>
      <c r="E178" t="inlineStr">
        <is>
          <t>Sacrifice some of your health to launch blood shards that apply a stack of Malice. Each stack slows the victim and increases the damage they take from you. The slow effect decreases over time.</t>
        </is>
      </c>
    </row>
    <row r="179">
      <c r="A179" t="inlineStr">
        <is>
          <t>Lady Geist</t>
        </is>
      </c>
      <c r="B179" t="inlineStr">
        <is>
          <t>Malice</t>
        </is>
      </c>
      <c r="C179" t="inlineStr">
        <is>
          <t>Tank</t>
        </is>
      </c>
      <c r="D179" t="inlineStr">
        <is>
          <t>Tank</t>
        </is>
      </c>
      <c r="E179" t="inlineStr">
        <is>
          <t>Sacrifice some of your health to launch blood shards that apply a stack of Malice. Each stack slows the victim and increases the damage they take from you. The slow effect decreases over time.</t>
        </is>
      </c>
    </row>
    <row r="180">
      <c r="A180" t="inlineStr">
        <is>
          <t>Lady Geist</t>
        </is>
      </c>
      <c r="B180" t="inlineStr">
        <is>
          <t>Malice</t>
        </is>
      </c>
      <c r="C180" t="inlineStr">
        <is>
          <t>Utility</t>
        </is>
      </c>
      <c r="D180" t="inlineStr">
        <is>
          <t>Utility</t>
        </is>
      </c>
      <c r="E180" t="inlineStr">
        <is>
          <t>Sacrifice some of your health to launch blood shards that apply a stack of Malice. Each stack slows the victim and increases the damage they take from you. The slow effect decreases over time.</t>
        </is>
      </c>
    </row>
    <row r="181">
      <c r="A181" t="inlineStr">
        <is>
          <t>Lady Geist</t>
        </is>
      </c>
      <c r="B181" t="inlineStr">
        <is>
          <t>Life Drain</t>
        </is>
      </c>
      <c r="C181" t="inlineStr">
        <is>
          <t>Damage</t>
        </is>
      </c>
      <c r="D181" t="inlineStr">
        <is>
          <t>Damage</t>
        </is>
      </c>
      <c r="E181" t="inlineStr">
        <is>
          <t>Create a tether that drains enemy health over time and heals you. Target must be in line of sight and within max range to drain. You can shoot and use other abilities during the drain, but your move speed is reduced. Alternate Cast to give health to friendly Heroes.</t>
        </is>
      </c>
    </row>
    <row r="182">
      <c r="A182" t="inlineStr">
        <is>
          <t>Lady Geist</t>
        </is>
      </c>
      <c r="B182" t="inlineStr">
        <is>
          <t>Life Drain</t>
        </is>
      </c>
      <c r="C182" t="inlineStr">
        <is>
          <t>Sustain</t>
        </is>
      </c>
      <c r="D182" t="inlineStr">
        <is>
          <t>Utility</t>
        </is>
      </c>
      <c r="E182" t="inlineStr">
        <is>
          <t>Create a tether that drains enemy health over time and heals you. Target must be in line of sight and within max range to drain. You can shoot and use other abilities during the drain, but your move speed is reduced. Alternate Cast to give health to friendly Heroes.</t>
        </is>
      </c>
    </row>
    <row r="183">
      <c r="A183" t="inlineStr">
        <is>
          <t>Lady Geist</t>
        </is>
      </c>
      <c r="B183" t="inlineStr">
        <is>
          <t>Life Drain</t>
        </is>
      </c>
      <c r="C183" t="inlineStr">
        <is>
          <t>Tank</t>
        </is>
      </c>
      <c r="D183" t="inlineStr">
        <is>
          <t>Tank</t>
        </is>
      </c>
      <c r="E183" t="inlineStr">
        <is>
          <t>Create a tether that drains enemy health over time and heals you. Target must be in line of sight and within max range to drain. You can shoot and use other abilities during the drain, but your move speed is reduced. Alternate Cast to give health to friendly Heroes.</t>
        </is>
      </c>
    </row>
    <row r="184">
      <c r="A184" t="inlineStr">
        <is>
          <t>Lady Geist</t>
        </is>
      </c>
      <c r="B184" t="inlineStr">
        <is>
          <t>Life Drain</t>
        </is>
      </c>
      <c r="C184" t="inlineStr">
        <is>
          <t>Utility</t>
        </is>
      </c>
      <c r="D184" t="inlineStr">
        <is>
          <t>Utility</t>
        </is>
      </c>
      <c r="E184" t="inlineStr">
        <is>
          <t>Create a tether that drains enemy health over time and heals you. Target must be in line of sight and within max range to drain. You can shoot and use other abilities during the drain, but your move speed is reduced. Alternate Cast to give health to friendly Heroes.</t>
        </is>
      </c>
    </row>
    <row r="185">
      <c r="A185" t="inlineStr">
        <is>
          <t>Lady Geist</t>
        </is>
      </c>
      <c r="B185" t="inlineStr">
        <is>
          <t>Soul Exchange</t>
        </is>
      </c>
      <c r="C185" t="inlineStr">
        <is>
          <t>Pick</t>
        </is>
      </c>
      <c r="D185" t="inlineStr">
        <is>
          <t>Pick</t>
        </is>
      </c>
      <c r="E185" t="inlineStr">
        <is>
          <t>Swaps health levels with an enemy target. There is a minimum health percentage that enemies can be brought down to and a minimum amount of health received based on victims current health.</t>
        </is>
      </c>
    </row>
    <row r="186">
      <c r="A186" t="inlineStr">
        <is>
          <t>Lady Geist</t>
        </is>
      </c>
      <c r="B186" t="inlineStr">
        <is>
          <t>Soul Exchange</t>
        </is>
      </c>
      <c r="C186" t="inlineStr">
        <is>
          <t>Sustain</t>
        </is>
      </c>
      <c r="D186" t="inlineStr">
        <is>
          <t>Utility</t>
        </is>
      </c>
      <c r="E186" t="inlineStr">
        <is>
          <t>Swaps health levels with an enemy target. There is a minimum health percentage that enemies can be brought down to and a minimum amount of health received based on victims current health.</t>
        </is>
      </c>
    </row>
    <row r="187">
      <c r="A187" t="inlineStr">
        <is>
          <t>Lady Geist</t>
        </is>
      </c>
      <c r="B187" t="inlineStr">
        <is>
          <t>Soul Exchange</t>
        </is>
      </c>
      <c r="C187" t="inlineStr">
        <is>
          <t>Tank</t>
        </is>
      </c>
      <c r="D187" t="inlineStr">
        <is>
          <t>Tank</t>
        </is>
      </c>
      <c r="E187" t="inlineStr">
        <is>
          <t>Swaps health levels with an enemy target. There is a minimum health percentage that enemies can be brought down to and a minimum amount of health received based on victims current health.</t>
        </is>
      </c>
    </row>
    <row r="188">
      <c r="A188" t="inlineStr">
        <is>
          <t>Lady Geist</t>
        </is>
      </c>
      <c r="B188" t="inlineStr">
        <is>
          <t>Soul Exchange</t>
        </is>
      </c>
      <c r="C188" t="inlineStr">
        <is>
          <t>Utility</t>
        </is>
      </c>
      <c r="D188" t="inlineStr">
        <is>
          <t>Utility</t>
        </is>
      </c>
      <c r="E188" t="inlineStr">
        <is>
          <t>Swaps health levels with an enemy target. There is a minimum health percentage that enemies can be brought down to and a minimum amount of health received based on victims current health.</t>
        </is>
      </c>
    </row>
    <row r="189">
      <c r="A189" t="inlineStr">
        <is>
          <t>Lash</t>
        </is>
      </c>
      <c r="B189" t="inlineStr">
        <is>
          <t>Grapple</t>
        </is>
      </c>
      <c r="C189" t="inlineStr">
        <is>
          <t>Engage</t>
        </is>
      </c>
      <c r="D189" t="inlineStr">
        <is>
          <t>Pick</t>
        </is>
      </c>
      <c r="E189" t="inlineStr">
        <is>
          <t>Pull yourself through the air toward a target. Using Grapple also resets your limit of air jumps and dashes.</t>
        </is>
      </c>
    </row>
    <row r="190">
      <c r="A190" t="inlineStr">
        <is>
          <t>Lash</t>
        </is>
      </c>
      <c r="B190" t="inlineStr">
        <is>
          <t>Grapple</t>
        </is>
      </c>
      <c r="C190" t="inlineStr">
        <is>
          <t>Pick</t>
        </is>
      </c>
      <c r="D190" t="inlineStr">
        <is>
          <t>Pick</t>
        </is>
      </c>
      <c r="E190" t="inlineStr">
        <is>
          <t>Pull yourself through the air toward a target. Using Grapple also resets your limit of air jumps and dashes.</t>
        </is>
      </c>
    </row>
    <row r="191">
      <c r="A191" t="inlineStr">
        <is>
          <t>Lash</t>
        </is>
      </c>
      <c r="B191" t="inlineStr">
        <is>
          <t>Grapple</t>
        </is>
      </c>
      <c r="C191" t="inlineStr">
        <is>
          <t>Utility</t>
        </is>
      </c>
      <c r="D191" t="inlineStr">
        <is>
          <t>Utility</t>
        </is>
      </c>
      <c r="E191" t="inlineStr">
        <is>
          <t>Pull yourself through the air toward a target. Using Grapple also resets your limit of air jumps and dashes.</t>
        </is>
      </c>
    </row>
    <row r="192">
      <c r="A192" t="inlineStr">
        <is>
          <t>Lash</t>
        </is>
      </c>
      <c r="B192" t="inlineStr">
        <is>
          <t>Ground Strike</t>
        </is>
      </c>
      <c r="C192" t="inlineStr">
        <is>
          <t>Damage</t>
        </is>
      </c>
      <c r="D192" t="inlineStr">
        <is>
          <t>Damage</t>
        </is>
      </c>
      <c r="E192" t="inlineStr">
        <is>
          <t>Stomp the ground beneath you, damaging enemies in front of you. If you perform Ground Strike while airborne, you quickly dive towards the ground. Damage grows slower after 25m.</t>
        </is>
      </c>
    </row>
    <row r="193">
      <c r="A193" t="inlineStr">
        <is>
          <t>Lash</t>
        </is>
      </c>
      <c r="B193" t="inlineStr">
        <is>
          <t>Ground Strike</t>
        </is>
      </c>
      <c r="C193" t="inlineStr">
        <is>
          <t>Pick</t>
        </is>
      </c>
      <c r="D193" t="inlineStr">
        <is>
          <t>Pick</t>
        </is>
      </c>
      <c r="E193" t="inlineStr">
        <is>
          <t>Stomp the ground beneath you, damaging enemies in front of you. If you perform Ground Strike while airborne, you quickly dive towards the ground. Damage grows slower after 25m.</t>
        </is>
      </c>
    </row>
    <row r="194">
      <c r="A194" t="inlineStr">
        <is>
          <t>Lash</t>
        </is>
      </c>
      <c r="B194" t="inlineStr">
        <is>
          <t>Ground Strike</t>
        </is>
      </c>
      <c r="C194" t="inlineStr">
        <is>
          <t>Utility</t>
        </is>
      </c>
      <c r="D194" t="inlineStr">
        <is>
          <t>Utility</t>
        </is>
      </c>
      <c r="E194" t="inlineStr">
        <is>
          <t>Stomp the ground beneath you, damaging enemies in front of you. If you perform Ground Strike while airborne, you quickly dive towards the ground. Damage grows slower after 25m.</t>
        </is>
      </c>
    </row>
    <row r="195">
      <c r="A195" t="inlineStr">
        <is>
          <t>Lash</t>
        </is>
      </c>
      <c r="B195" t="inlineStr">
        <is>
          <t>Death Slam</t>
        </is>
      </c>
      <c r="C195" t="inlineStr">
        <is>
          <t>Damage</t>
        </is>
      </c>
      <c r="D195" t="inlineStr">
        <is>
          <t>Damage</t>
        </is>
      </c>
      <c r="E195" t="inlineStr">
        <is>
          <t>Focus on enemies to connect whips to them. After channeling, connected enemies are lifted and stunned then slammed into the ground. Your victims and any enemies in the landing zone will be damaged and slowed. Press Fire button to throw connected enemies early. Enemies that are not in line of sight or go out of range during the latch time will not be grabbed.</t>
        </is>
      </c>
    </row>
    <row r="196">
      <c r="A196" t="inlineStr">
        <is>
          <t>Lash</t>
        </is>
      </c>
      <c r="B196" t="inlineStr">
        <is>
          <t>Death Slam</t>
        </is>
      </c>
      <c r="C196" t="inlineStr">
        <is>
          <t>Pick</t>
        </is>
      </c>
      <c r="D196" t="inlineStr">
        <is>
          <t>Pick</t>
        </is>
      </c>
      <c r="E196" t="inlineStr">
        <is>
          <t>Focus on enemies to connect whips to them. After channeling, connected enemies are lifted and stunned then slammed into the ground. Your victims and any enemies in the landing zone will be damaged and slowed. Press Fire button to throw connected enemies early. Enemies that are not in line of sight or go out of range during the latch time will not be grabbed.</t>
        </is>
      </c>
    </row>
    <row r="197">
      <c r="A197" t="inlineStr">
        <is>
          <t>Lash</t>
        </is>
      </c>
      <c r="B197" t="inlineStr">
        <is>
          <t>Death Slam</t>
        </is>
      </c>
      <c r="C197" t="inlineStr">
        <is>
          <t>Utility</t>
        </is>
      </c>
      <c r="D197" t="inlineStr">
        <is>
          <t>Utility</t>
        </is>
      </c>
      <c r="E197" t="inlineStr">
        <is>
          <t>Focus on enemies to connect whips to them. After channeling, connected enemies are lifted and stunned then slammed into the ground. Your victims and any enemies in the landing zone will be damaged and slowed. Press Fire button to throw connected enemies early. Enemies that are not in line of sight or go out of range during the latch time will not be grabbed.</t>
        </is>
      </c>
    </row>
    <row r="198">
      <c r="A198" t="inlineStr">
        <is>
          <t>Lash</t>
        </is>
      </c>
      <c r="B198" t="inlineStr">
        <is>
          <t>Flog</t>
        </is>
      </c>
      <c r="C198" t="inlineStr">
        <is>
          <t>Damage</t>
        </is>
      </c>
      <c r="D198" t="inlineStr">
        <is>
          <t>Damage</t>
        </is>
      </c>
      <c r="E198" t="inlineStr">
        <is>
          <t>Strike enemies in front of you with your whip,  healing for a portion of the damage dealt.</t>
        </is>
      </c>
    </row>
    <row r="199">
      <c r="A199" t="inlineStr">
        <is>
          <t>Lash</t>
        </is>
      </c>
      <c r="B199" t="inlineStr">
        <is>
          <t>Flog</t>
        </is>
      </c>
      <c r="C199" t="inlineStr">
        <is>
          <t>Sustain</t>
        </is>
      </c>
      <c r="D199" t="inlineStr">
        <is>
          <t>Utility</t>
        </is>
      </c>
      <c r="E199" t="inlineStr">
        <is>
          <t>Strike enemies in front of you with your whip,  healing for a portion of the damage dealt.</t>
        </is>
      </c>
    </row>
    <row r="200">
      <c r="A200" t="inlineStr">
        <is>
          <t>Lash</t>
        </is>
      </c>
      <c r="B200" t="inlineStr">
        <is>
          <t>Flog</t>
        </is>
      </c>
      <c r="C200" t="inlineStr">
        <is>
          <t>Utility</t>
        </is>
      </c>
      <c r="D200" t="inlineStr">
        <is>
          <t>Utility</t>
        </is>
      </c>
      <c r="E200" t="inlineStr">
        <is>
          <t>Strike enemies in front of you with your whip,  healing for a portion of the damage dealt.</t>
        </is>
      </c>
    </row>
    <row r="201">
      <c r="A201" t="inlineStr">
        <is>
          <t>McGinnis</t>
        </is>
      </c>
      <c r="B201" t="inlineStr">
        <is>
          <t>Medicinal Specter</t>
        </is>
      </c>
      <c r="C201" t="inlineStr">
        <is>
          <t>Sustain</t>
        </is>
      </c>
      <c r="D201" t="inlineStr">
        <is>
          <t>Utility</t>
        </is>
      </c>
      <c r="E201" t="inlineStr">
        <is>
          <t>Deploy a spirit that provides  healing and stamina recovery to nearby allies.</t>
        </is>
      </c>
    </row>
    <row r="202">
      <c r="A202" t="inlineStr">
        <is>
          <t>McGinnis</t>
        </is>
      </c>
      <c r="B202" t="inlineStr">
        <is>
          <t>Medicinal Specter</t>
        </is>
      </c>
      <c r="C202" t="inlineStr">
        <is>
          <t>Utility</t>
        </is>
      </c>
      <c r="D202" t="inlineStr">
        <is>
          <t>Utility</t>
        </is>
      </c>
      <c r="E202" t="inlineStr">
        <is>
          <t>Deploy a spirit that provides  healing and stamina recovery to nearby allies.</t>
        </is>
      </c>
    </row>
    <row r="203">
      <c r="A203" t="inlineStr">
        <is>
          <t>McGinnis</t>
        </is>
      </c>
      <c r="B203" t="inlineStr">
        <is>
          <t>Mini Turret</t>
        </is>
      </c>
      <c r="C203" t="inlineStr">
        <is>
          <t>Damage</t>
        </is>
      </c>
      <c r="D203" t="inlineStr">
        <is>
          <t>Damage</t>
        </is>
      </c>
      <c r="E203" t="inlineStr">
        <is>
          <t>Deploy a turret that shoots enemies, dealing  spirit damage over time. The turret expires after a limited lifetime. Turrets deal reduced damage to troopers and objectives.</t>
        </is>
      </c>
    </row>
    <row r="204">
      <c r="A204" t="inlineStr">
        <is>
          <t>McGinnis</t>
        </is>
      </c>
      <c r="B204" t="inlineStr">
        <is>
          <t>Spectral Wall</t>
        </is>
      </c>
      <c r="C204" t="inlineStr">
        <is>
          <t>Damage</t>
        </is>
      </c>
      <c r="D204" t="inlineStr">
        <is>
          <t>Damage</t>
        </is>
      </c>
      <c r="E204" t="inlineStr">
        <is>
          <t>Creates a wall that divides the terrain in half. On creation, the wall deals damage and applies slow to enemies nearby. After casting, press Fire button or Ability 3 button to erupt the wall early.</t>
        </is>
      </c>
    </row>
    <row r="205">
      <c r="A205" t="inlineStr">
        <is>
          <t>McGinnis</t>
        </is>
      </c>
      <c r="B205" t="inlineStr">
        <is>
          <t>Spectral Wall</t>
        </is>
      </c>
      <c r="C205" t="inlineStr">
        <is>
          <t>Pick</t>
        </is>
      </c>
      <c r="D205" t="inlineStr">
        <is>
          <t>Pick</t>
        </is>
      </c>
      <c r="E205" t="inlineStr">
        <is>
          <t>Creates a wall that divides the terrain in half. On creation, the wall deals damage and applies slow to enemies nearby. After casting, press Fire button or Ability 3 button to erupt the wall early.</t>
        </is>
      </c>
    </row>
    <row r="206">
      <c r="A206" t="inlineStr">
        <is>
          <t>McGinnis</t>
        </is>
      </c>
      <c r="B206" t="inlineStr">
        <is>
          <t>Spectral Wall</t>
        </is>
      </c>
      <c r="C206" t="inlineStr">
        <is>
          <t>Utility</t>
        </is>
      </c>
      <c r="D206" t="inlineStr">
        <is>
          <t>Utility</t>
        </is>
      </c>
      <c r="E206" t="inlineStr">
        <is>
          <t>Creates a wall that divides the terrain in half. On creation, the wall deals damage and applies slow to enemies nearby. After casting, press Fire button or Ability 3 button to erupt the wall early.</t>
        </is>
      </c>
    </row>
    <row r="207">
      <c r="A207" t="inlineStr">
        <is>
          <t>McGinnis</t>
        </is>
      </c>
      <c r="B207" t="inlineStr">
        <is>
          <t>Heavy Barrage</t>
        </is>
      </c>
      <c r="C207" t="inlineStr">
        <is>
          <t>Damage</t>
        </is>
      </c>
      <c r="D207" t="inlineStr">
        <is>
          <t>Damage</t>
        </is>
      </c>
      <c r="E207" t="inlineStr">
        <is>
          <t>Unleashes a volley of rockets that home in on a targeted location. McGinnis is slowed and is still able to use stamina.</t>
        </is>
      </c>
    </row>
    <row r="208">
      <c r="A208" t="inlineStr">
        <is>
          <t>McGinnis</t>
        </is>
      </c>
      <c r="B208" t="inlineStr">
        <is>
          <t>Heavy Barrage</t>
        </is>
      </c>
      <c r="C208" t="inlineStr">
        <is>
          <t>Pick</t>
        </is>
      </c>
      <c r="D208" t="inlineStr">
        <is>
          <t>Pick</t>
        </is>
      </c>
      <c r="E208" t="inlineStr">
        <is>
          <t>Unleashes a volley of rockets that home in on a targeted location. McGinnis is slowed and is still able to use stamina.</t>
        </is>
      </c>
    </row>
    <row r="209">
      <c r="A209" t="inlineStr">
        <is>
          <t>McGinnis</t>
        </is>
      </c>
      <c r="B209" t="inlineStr">
        <is>
          <t>Heavy Barrage</t>
        </is>
      </c>
      <c r="C209" t="inlineStr">
        <is>
          <t>Utility</t>
        </is>
      </c>
      <c r="D209" t="inlineStr">
        <is>
          <t>Utility</t>
        </is>
      </c>
      <c r="E209" t="inlineStr">
        <is>
          <t>Unleashes a volley of rockets that home in on a targeted location. McGinnis is slowed and is still able to use stamina.</t>
        </is>
      </c>
    </row>
    <row r="210">
      <c r="A210" t="inlineStr">
        <is>
          <t>Mina</t>
        </is>
      </c>
      <c r="B210" t="inlineStr">
        <is>
          <t>Sanguine Retreat</t>
        </is>
      </c>
      <c r="C210" t="inlineStr">
        <is>
          <t>Utility</t>
        </is>
      </c>
      <c r="D210" t="inlineStr">
        <is>
          <t>Utility</t>
        </is>
      </c>
      <c r="E210" t="inlineStr">
        <is>
          <t>Briefly disperse, becoming untargetable and flying to a target location. Can be recast within a brief window.</t>
        </is>
      </c>
    </row>
    <row r="211">
      <c r="A211" t="inlineStr">
        <is>
          <t>Mina</t>
        </is>
      </c>
      <c r="B211" t="inlineStr">
        <is>
          <t>Love Bites</t>
        </is>
      </c>
      <c r="C211" t="inlineStr">
        <is>
          <t>Damage</t>
        </is>
      </c>
      <c r="D211" t="inlineStr">
        <is>
          <t>Damage</t>
        </is>
      </c>
      <c r="E211" t="inlineStr">
        <is>
          <t>Bullets and abilities apply  spirit damage, building up to a burst of  bonus spirit damage. Love Bites has a unique cooldown per target.</t>
        </is>
      </c>
    </row>
    <row r="212">
      <c r="A212" t="inlineStr">
        <is>
          <t>Mina</t>
        </is>
      </c>
      <c r="B212" t="inlineStr">
        <is>
          <t>Love Bites</t>
        </is>
      </c>
      <c r="C212" t="inlineStr">
        <is>
          <t>Utility</t>
        </is>
      </c>
      <c r="D212" t="inlineStr">
        <is>
          <t>Utility</t>
        </is>
      </c>
      <c r="E212" t="inlineStr">
        <is>
          <t>Bullets and abilities apply  spirit damage, building up to a burst of  bonus spirit damage. Love Bites has a unique cooldown per target.</t>
        </is>
      </c>
    </row>
    <row r="213">
      <c r="A213" t="inlineStr">
        <is>
          <t>Mina</t>
        </is>
      </c>
      <c r="B213" t="inlineStr">
        <is>
          <t>Nox Nostra</t>
        </is>
      </c>
      <c r="C213" t="inlineStr">
        <is>
          <t>Utility</t>
        </is>
      </c>
      <c r="D213" t="inlineStr">
        <is>
          <t>Utility</t>
        </is>
      </c>
      <c r="E213" t="inlineStr">
        <is>
          <t>Active:</t>
        </is>
      </c>
    </row>
    <row r="214">
      <c r="A214" t="inlineStr">
        <is>
          <t>Mina</t>
        </is>
      </c>
      <c r="B214" t="inlineStr">
        <is>
          <t>Rake</t>
        </is>
      </c>
      <c r="C214" t="inlineStr">
        <is>
          <t>Utility</t>
        </is>
      </c>
      <c r="D214" t="inlineStr">
        <is>
          <t>Utility</t>
        </is>
      </c>
      <c r="E214" t="inlineStr">
        <is>
          <t>Active:</t>
        </is>
      </c>
    </row>
    <row r="215">
      <c r="A215" t="inlineStr">
        <is>
          <t>Mirage</t>
        </is>
      </c>
      <c r="B215" t="inlineStr">
        <is>
          <t>Tornado</t>
        </is>
      </c>
      <c r="C215" t="inlineStr">
        <is>
          <t>Damage</t>
        </is>
      </c>
      <c r="D215" t="inlineStr">
        <is>
          <t>Damage</t>
        </is>
      </c>
      <c r="E215" t="inlineStr">
        <is>
          <t>Transform yourself into a tornado that travels forward, damaging enemies and lifting them up in the air. After emerging from the tornado you gain bullet evasion.</t>
        </is>
      </c>
    </row>
    <row r="216">
      <c r="A216" t="inlineStr">
        <is>
          <t>Mirage</t>
        </is>
      </c>
      <c r="B216" t="inlineStr">
        <is>
          <t>Tornado</t>
        </is>
      </c>
      <c r="C216" t="inlineStr">
        <is>
          <t>Utility</t>
        </is>
      </c>
      <c r="D216" t="inlineStr">
        <is>
          <t>Utility</t>
        </is>
      </c>
      <c r="E216" t="inlineStr">
        <is>
          <t>Transform yourself into a tornado that travels forward, damaging enemies and lifting them up in the air. After emerging from the tornado you gain bullet evasion.</t>
        </is>
      </c>
    </row>
    <row r="217">
      <c r="A217" t="inlineStr">
        <is>
          <t>Mirage</t>
        </is>
      </c>
      <c r="B217" t="inlineStr">
        <is>
          <t>Djinn's Mark</t>
        </is>
      </c>
      <c r="C217" t="inlineStr">
        <is>
          <t>Damage</t>
        </is>
      </c>
      <c r="D217" t="inlineStr">
        <is>
          <t>Damage</t>
        </is>
      </c>
      <c r="E217" t="inlineStr">
        <is>
          <t>Active: Consume multiplier of Djinn's Mark to deal its damage now. Passive: Passive: Your shots apply an increasing multiplier on the target. When the multiplier on a target expires or you reach the max, it's consumed and the target suffers Spirit Damage and is briefly revealed on the map. The final damage is the base damage times the multiplier.</t>
        </is>
      </c>
    </row>
    <row r="218">
      <c r="A218" t="inlineStr">
        <is>
          <t>Mirage</t>
        </is>
      </c>
      <c r="B218" t="inlineStr">
        <is>
          <t>Djinn's Mark</t>
        </is>
      </c>
      <c r="C218" t="inlineStr">
        <is>
          <t>Utility</t>
        </is>
      </c>
      <c r="D218" t="inlineStr">
        <is>
          <t>Utility</t>
        </is>
      </c>
      <c r="E218" t="inlineStr">
        <is>
          <t>Active: Consume multiplier of Djinn's Mark to deal its damage now. Passive: Passive: Your shots apply an increasing multiplier on the target. When the multiplier on a target expires or you reach the max, it's consumed and the target suffers Spirit Damage and is briefly revealed on the map. The final damage is the base damage times the multiplier.</t>
        </is>
      </c>
    </row>
    <row r="219">
      <c r="A219" t="inlineStr">
        <is>
          <t>Mirage</t>
        </is>
      </c>
      <c r="B219" t="inlineStr">
        <is>
          <t>Fire Scarabs</t>
        </is>
      </c>
      <c r="C219" t="inlineStr">
        <is>
          <t>Damage</t>
        </is>
      </c>
      <c r="D219" t="inlineStr">
        <is>
          <t>Damage</t>
        </is>
      </c>
      <c r="E219" t="inlineStr">
        <is>
          <t>Start launching fire scarabs. Each scarab can be launched separately, stealing max health from enemies over time and applying bullet resist reduction. Applying multiple scarabs to the same enemy will extend the health stealing duration. The health gain from hitting heroes is 3x as effective as against non-heroes.</t>
        </is>
      </c>
    </row>
    <row r="220">
      <c r="A220" t="inlineStr">
        <is>
          <t>Mirage</t>
        </is>
      </c>
      <c r="B220" t="inlineStr">
        <is>
          <t>Fire Scarabs</t>
        </is>
      </c>
      <c r="C220" t="inlineStr">
        <is>
          <t>Engage</t>
        </is>
      </c>
      <c r="D220" t="inlineStr">
        <is>
          <t>Pick</t>
        </is>
      </c>
      <c r="E220" t="inlineStr">
        <is>
          <t>Start launching fire scarabs. Each scarab can be launched separately, stealing max health from enemies over time and applying bullet resist reduction. Applying multiple scarabs to the same enemy will extend the health stealing duration. The health gain from hitting heroes is 3x as effective as against non-heroes.</t>
        </is>
      </c>
    </row>
    <row r="221">
      <c r="A221" t="inlineStr">
        <is>
          <t>Mirage</t>
        </is>
      </c>
      <c r="B221" t="inlineStr">
        <is>
          <t>Fire Scarabs</t>
        </is>
      </c>
      <c r="C221" t="inlineStr">
        <is>
          <t>Sustain</t>
        </is>
      </c>
      <c r="D221" t="inlineStr">
        <is>
          <t>Utility</t>
        </is>
      </c>
      <c r="E221" t="inlineStr">
        <is>
          <t>Start launching fire scarabs. Each scarab can be launched separately, stealing max health from enemies over time and applying bullet resist reduction. Applying multiple scarabs to the same enemy will extend the health stealing duration. The health gain from hitting heroes is 3x as effective as against non-heroes.</t>
        </is>
      </c>
    </row>
    <row r="222">
      <c r="A222" t="inlineStr">
        <is>
          <t>Mirage</t>
        </is>
      </c>
      <c r="B222" t="inlineStr">
        <is>
          <t>Fire Scarabs</t>
        </is>
      </c>
      <c r="C222" t="inlineStr">
        <is>
          <t>Tank</t>
        </is>
      </c>
      <c r="D222" t="inlineStr">
        <is>
          <t>Tank</t>
        </is>
      </c>
      <c r="E222" t="inlineStr">
        <is>
          <t>Start launching fire scarabs. Each scarab can be launched separately, stealing max health from enemies over time and applying bullet resist reduction. Applying multiple scarabs to the same enemy will extend the health stealing duration. The health gain from hitting heroes is 3x as effective as against non-heroes.</t>
        </is>
      </c>
    </row>
    <row r="223">
      <c r="A223" t="inlineStr">
        <is>
          <t>Mirage</t>
        </is>
      </c>
      <c r="B223" t="inlineStr">
        <is>
          <t>Fire Scarabs</t>
        </is>
      </c>
      <c r="C223" t="inlineStr">
        <is>
          <t>Utility</t>
        </is>
      </c>
      <c r="D223" t="inlineStr">
        <is>
          <t>Utility</t>
        </is>
      </c>
      <c r="E223" t="inlineStr">
        <is>
          <t>Start launching fire scarabs. Each scarab can be launched separately, stealing max health from enemies over time and applying bullet resist reduction. Applying multiple scarabs to the same enemy will extend the health stealing duration. The health gain from hitting heroes is 3x as effective as against non-heroes.</t>
        </is>
      </c>
    </row>
    <row r="224">
      <c r="A224" t="inlineStr">
        <is>
          <t>Mirage</t>
        </is>
      </c>
      <c r="B224" t="inlineStr">
        <is>
          <t>Traveler</t>
        </is>
      </c>
      <c r="C224" t="inlineStr">
        <is>
          <t>Damage</t>
        </is>
      </c>
      <c r="D224" t="inlineStr">
        <is>
          <t>Damage</t>
        </is>
      </c>
      <c r="E224" t="inlineStr">
        <is>
          <t>Channeled. Target a friendly objective, ally or visible enemy hero on the minimap, then teleport to where they were when your channel started. After teleporting, you gain move speed as well as fire rate until your next reload.</t>
        </is>
      </c>
    </row>
    <row r="225">
      <c r="A225" t="inlineStr">
        <is>
          <t>Mirage</t>
        </is>
      </c>
      <c r="B225" t="inlineStr">
        <is>
          <t>Traveler</t>
        </is>
      </c>
      <c r="C225" t="inlineStr">
        <is>
          <t>Engage</t>
        </is>
      </c>
      <c r="D225" t="inlineStr">
        <is>
          <t>Pick</t>
        </is>
      </c>
      <c r="E225" t="inlineStr">
        <is>
          <t>Channeled. Target a friendly objective, ally or visible enemy hero on the minimap, then teleport to where they were when your channel started. After teleporting, you gain move speed as well as fire rate until your next reload.</t>
        </is>
      </c>
    </row>
    <row r="226">
      <c r="A226" t="inlineStr">
        <is>
          <t>Mirage</t>
        </is>
      </c>
      <c r="B226" t="inlineStr">
        <is>
          <t>Traveler</t>
        </is>
      </c>
      <c r="C226" t="inlineStr">
        <is>
          <t>Utility</t>
        </is>
      </c>
      <c r="D226" t="inlineStr">
        <is>
          <t>Utility</t>
        </is>
      </c>
      <c r="E226" t="inlineStr">
        <is>
          <t>Channeled. Target a friendly objective, ally or visible enemy hero on the minimap, then teleport to where they were when your channel started. After teleporting, you gain move speed as well as fire rate until your next reload.</t>
        </is>
      </c>
    </row>
    <row r="227">
      <c r="A227" t="inlineStr">
        <is>
          <t>Mo &amp; Krill</t>
        </is>
      </c>
      <c r="B227" t="inlineStr">
        <is>
          <t>Scorn</t>
        </is>
      </c>
      <c r="C227" t="inlineStr">
        <is>
          <t>Damage</t>
        </is>
      </c>
      <c r="D227" t="inlineStr">
        <is>
          <t>Damage</t>
        </is>
      </c>
      <c r="E227" t="inlineStr">
        <is>
          <t>Deal damage to nearby enemies and heal yourself based on the damage done. Heal is stronger against enemy heroes.</t>
        </is>
      </c>
    </row>
    <row r="228">
      <c r="A228" t="inlineStr">
        <is>
          <t>Mo &amp; Krill</t>
        </is>
      </c>
      <c r="B228" t="inlineStr">
        <is>
          <t>Scorn</t>
        </is>
      </c>
      <c r="C228" t="inlineStr">
        <is>
          <t>Sustain</t>
        </is>
      </c>
      <c r="D228" t="inlineStr">
        <is>
          <t>Utility</t>
        </is>
      </c>
      <c r="E228" t="inlineStr">
        <is>
          <t>Deal damage to nearby enemies and heal yourself based on the damage done. Heal is stronger against enemy heroes.</t>
        </is>
      </c>
    </row>
    <row r="229">
      <c r="A229" t="inlineStr">
        <is>
          <t>Mo &amp; Krill</t>
        </is>
      </c>
      <c r="B229" t="inlineStr">
        <is>
          <t>Scorn</t>
        </is>
      </c>
      <c r="C229" t="inlineStr">
        <is>
          <t>Utility</t>
        </is>
      </c>
      <c r="D229" t="inlineStr">
        <is>
          <t>Utility</t>
        </is>
      </c>
      <c r="E229" t="inlineStr">
        <is>
          <t>Deal damage to nearby enemies and heal yourself based on the damage done. Heal is stronger against enemy heroes.</t>
        </is>
      </c>
    </row>
    <row r="230">
      <c r="A230" t="inlineStr">
        <is>
          <t>Mo &amp; Krill</t>
        </is>
      </c>
      <c r="B230" t="inlineStr">
        <is>
          <t>Burrow</t>
        </is>
      </c>
      <c r="C230" t="inlineStr">
        <is>
          <t>Damage</t>
        </is>
      </c>
      <c r="D230" t="inlineStr">
        <is>
          <t>Damage</t>
        </is>
      </c>
      <c r="E230" t="inlineStr">
        <is>
          <t>Burrow underground, moving faster, and gaining spirit and bullet armor. Damage from enemy heroes will reduce the speed bonus. When you jump out, deal  spirit damage, slow, and  knockup.</t>
        </is>
      </c>
    </row>
    <row r="231">
      <c r="A231" t="inlineStr">
        <is>
          <t>Mo &amp; Krill</t>
        </is>
      </c>
      <c r="B231" t="inlineStr">
        <is>
          <t>Burrow</t>
        </is>
      </c>
      <c r="C231" t="inlineStr">
        <is>
          <t>Engage</t>
        </is>
      </c>
      <c r="D231" t="inlineStr">
        <is>
          <t>Pick</t>
        </is>
      </c>
      <c r="E231" t="inlineStr">
        <is>
          <t>Burrow underground, moving faster, and gaining spirit and bullet armor. Damage from enemy heroes will reduce the speed bonus. When you jump out, deal  spirit damage, slow, and  knockup.</t>
        </is>
      </c>
    </row>
    <row r="232">
      <c r="A232" t="inlineStr">
        <is>
          <t>Mo &amp; Krill</t>
        </is>
      </c>
      <c r="B232" t="inlineStr">
        <is>
          <t>Burrow</t>
        </is>
      </c>
      <c r="C232" t="inlineStr">
        <is>
          <t>Pick</t>
        </is>
      </c>
      <c r="D232" t="inlineStr">
        <is>
          <t>Pick</t>
        </is>
      </c>
      <c r="E232" t="inlineStr">
        <is>
          <t>Burrow underground, moving faster, and gaining spirit and bullet armor. Damage from enemy heroes will reduce the speed bonus. When you jump out, deal  spirit damage, slow, and  knockup.</t>
        </is>
      </c>
    </row>
    <row r="233">
      <c r="A233" t="inlineStr">
        <is>
          <t>Mo &amp; Krill</t>
        </is>
      </c>
      <c r="B233" t="inlineStr">
        <is>
          <t>Burrow</t>
        </is>
      </c>
      <c r="C233" t="inlineStr">
        <is>
          <t>Tank</t>
        </is>
      </c>
      <c r="D233" t="inlineStr">
        <is>
          <t>Tank</t>
        </is>
      </c>
      <c r="E233" t="inlineStr">
        <is>
          <t>Burrow underground, moving faster, and gaining spirit and bullet armor. Damage from enemy heroes will reduce the speed bonus. When you jump out, deal  spirit damage, slow, and  knockup.</t>
        </is>
      </c>
    </row>
    <row r="234">
      <c r="A234" t="inlineStr">
        <is>
          <t>Mo &amp; Krill</t>
        </is>
      </c>
      <c r="B234" t="inlineStr">
        <is>
          <t>Burrow</t>
        </is>
      </c>
      <c r="C234" t="inlineStr">
        <is>
          <t>Utility</t>
        </is>
      </c>
      <c r="D234" t="inlineStr">
        <is>
          <t>Utility</t>
        </is>
      </c>
      <c r="E234" t="inlineStr">
        <is>
          <t>Burrow underground, moving faster, and gaining spirit and bullet armor. Damage from enemy heroes will reduce the speed bonus. When you jump out, deal  spirit damage, slow, and  knockup.</t>
        </is>
      </c>
    </row>
    <row r="235">
      <c r="A235" t="inlineStr">
        <is>
          <t>Mo &amp; Krill</t>
        </is>
      </c>
      <c r="B235" t="inlineStr">
        <is>
          <t>Sand Blast</t>
        </is>
      </c>
      <c r="C235" t="inlineStr">
        <is>
          <t>Damage</t>
        </is>
      </c>
      <c r="D235" t="inlineStr">
        <is>
          <t>Damage</t>
        </is>
      </c>
      <c r="E235" t="inlineStr">
        <is>
          <t>Spray sand that disarms enemies in front of you and deals damage.</t>
        </is>
      </c>
    </row>
    <row r="236">
      <c r="A236" t="inlineStr">
        <is>
          <t>Mo &amp; Krill</t>
        </is>
      </c>
      <c r="B236" t="inlineStr">
        <is>
          <t>Sand Blast</t>
        </is>
      </c>
      <c r="C236" t="inlineStr">
        <is>
          <t>Pick</t>
        </is>
      </c>
      <c r="D236" t="inlineStr">
        <is>
          <t>Pick</t>
        </is>
      </c>
      <c r="E236" t="inlineStr">
        <is>
          <t>Spray sand that disarms enemies in front of you and deals damage.</t>
        </is>
      </c>
    </row>
    <row r="237">
      <c r="A237" t="inlineStr">
        <is>
          <t>Mo &amp; Krill</t>
        </is>
      </c>
      <c r="B237" t="inlineStr">
        <is>
          <t>Combo</t>
        </is>
      </c>
      <c r="C237" t="inlineStr">
        <is>
          <t>Damage</t>
        </is>
      </c>
      <c r="D237" t="inlineStr">
        <is>
          <t>Damage</t>
        </is>
      </c>
      <c r="E237" t="inlineStr">
        <is>
          <t>Hold the target in place, stunning them and dealing damage during the channel. If they die during, or within 3 seconds of Combo ending, you permanently gain max health.</t>
        </is>
      </c>
    </row>
    <row r="238">
      <c r="A238" t="inlineStr">
        <is>
          <t>Mo &amp; Krill</t>
        </is>
      </c>
      <c r="B238" t="inlineStr">
        <is>
          <t>Combo</t>
        </is>
      </c>
      <c r="C238" t="inlineStr">
        <is>
          <t>Pick</t>
        </is>
      </c>
      <c r="D238" t="inlineStr">
        <is>
          <t>Pick</t>
        </is>
      </c>
      <c r="E238" t="inlineStr">
        <is>
          <t>Hold the target in place, stunning them and dealing damage during the channel. If they die during, or within 3 seconds of Combo ending, you permanently gain max health.</t>
        </is>
      </c>
    </row>
    <row r="239">
      <c r="A239" t="inlineStr">
        <is>
          <t>Mo &amp; Krill</t>
        </is>
      </c>
      <c r="B239" t="inlineStr">
        <is>
          <t>Combo</t>
        </is>
      </c>
      <c r="C239" t="inlineStr">
        <is>
          <t>Sustain</t>
        </is>
      </c>
      <c r="D239" t="inlineStr">
        <is>
          <t>Utility</t>
        </is>
      </c>
      <c r="E239" t="inlineStr">
        <is>
          <t>Hold the target in place, stunning them and dealing damage during the channel. If they die during, or within 3 seconds of Combo ending, you permanently gain max health.</t>
        </is>
      </c>
    </row>
    <row r="240">
      <c r="A240" t="inlineStr">
        <is>
          <t>Mo &amp; Krill</t>
        </is>
      </c>
      <c r="B240" t="inlineStr">
        <is>
          <t>Combo</t>
        </is>
      </c>
      <c r="C240" t="inlineStr">
        <is>
          <t>Tank</t>
        </is>
      </c>
      <c r="D240" t="inlineStr">
        <is>
          <t>Tank</t>
        </is>
      </c>
      <c r="E240" t="inlineStr">
        <is>
          <t>Hold the target in place, stunning them and dealing damage during the channel. If they die during, or within 3 seconds of Combo ending, you permanently gain max health.</t>
        </is>
      </c>
    </row>
    <row r="241">
      <c r="A241" t="inlineStr">
        <is>
          <t>Mo &amp; Krill</t>
        </is>
      </c>
      <c r="B241" t="inlineStr">
        <is>
          <t>Combo</t>
        </is>
      </c>
      <c r="C241" t="inlineStr">
        <is>
          <t>Utility</t>
        </is>
      </c>
      <c r="D241" t="inlineStr">
        <is>
          <t>Utility</t>
        </is>
      </c>
      <c r="E241" t="inlineStr">
        <is>
          <t>Hold the target in place, stunning them and dealing damage during the channel. If they die during, or within 3 seconds of Combo ending, you permanently gain max health.</t>
        </is>
      </c>
    </row>
    <row r="242">
      <c r="A242" t="inlineStr">
        <is>
          <t>Paige</t>
        </is>
      </c>
      <c r="B242" t="inlineStr">
        <is>
          <t>Conjure Dragon</t>
        </is>
      </c>
      <c r="C242" t="inlineStr">
        <is>
          <t>Damage</t>
        </is>
      </c>
      <c r="D242" t="inlineStr">
        <is>
          <t>Damage</t>
        </is>
      </c>
      <c r="E242" t="inlineStr">
        <is>
          <t>Conjure a dragon that appears at the target location before flying forward, dealing  spirit damage and leaving a burning path in its trail.</t>
        </is>
      </c>
    </row>
    <row r="243">
      <c r="A243" t="inlineStr">
        <is>
          <t>Paige</t>
        </is>
      </c>
      <c r="B243" t="inlineStr">
        <is>
          <t>Conjure Dragon</t>
        </is>
      </c>
      <c r="C243" t="inlineStr">
        <is>
          <t>Pick</t>
        </is>
      </c>
      <c r="D243" t="inlineStr">
        <is>
          <t>Pick</t>
        </is>
      </c>
      <c r="E243" t="inlineStr">
        <is>
          <t>Conjure a dragon that appears at the target location before flying forward, dealing  spirit damage and leaving a burning path in its trail.</t>
        </is>
      </c>
    </row>
    <row r="244">
      <c r="A244" t="inlineStr">
        <is>
          <t>Paige</t>
        </is>
      </c>
      <c r="B244" t="inlineStr">
        <is>
          <t>Conjure Dragon</t>
        </is>
      </c>
      <c r="C244" t="inlineStr">
        <is>
          <t>Utility</t>
        </is>
      </c>
      <c r="D244" t="inlineStr">
        <is>
          <t>Utility</t>
        </is>
      </c>
      <c r="E244" t="inlineStr">
        <is>
          <t>Conjure a dragon that appears at the target location before flying forward, dealing  spirit damage and leaving a burning path in its trail.</t>
        </is>
      </c>
    </row>
    <row r="245">
      <c r="A245" t="inlineStr">
        <is>
          <t>Paige</t>
        </is>
      </c>
      <c r="B245" t="inlineStr">
        <is>
          <t>Captivating Read</t>
        </is>
      </c>
      <c r="C245" t="inlineStr">
        <is>
          <t>Damage</t>
        </is>
      </c>
      <c r="D245" t="inlineStr">
        <is>
          <t>Damage</t>
        </is>
      </c>
      <c r="E245" t="inlineStr">
        <is>
          <t>Target an area with latent magic, applying slow. The magic detonates after a delay, dealing  spirit damage and applying immobilize.</t>
        </is>
      </c>
    </row>
    <row r="246">
      <c r="A246" t="inlineStr">
        <is>
          <t>Paige</t>
        </is>
      </c>
      <c r="B246" t="inlineStr">
        <is>
          <t>Captivating Read</t>
        </is>
      </c>
      <c r="C246" t="inlineStr">
        <is>
          <t>Pick</t>
        </is>
      </c>
      <c r="D246" t="inlineStr">
        <is>
          <t>Pick</t>
        </is>
      </c>
      <c r="E246" t="inlineStr">
        <is>
          <t>Target an area with latent magic, applying slow. The magic detonates after a delay, dealing  spirit damage and applying immobilize.</t>
        </is>
      </c>
    </row>
    <row r="247">
      <c r="A247" t="inlineStr">
        <is>
          <t>Paige</t>
        </is>
      </c>
      <c r="B247" t="inlineStr">
        <is>
          <t>Captivating Read</t>
        </is>
      </c>
      <c r="C247" t="inlineStr">
        <is>
          <t>Utility</t>
        </is>
      </c>
      <c r="D247" t="inlineStr">
        <is>
          <t>Utility</t>
        </is>
      </c>
      <c r="E247" t="inlineStr">
        <is>
          <t>Target an area with latent magic, applying slow. The magic detonates after a delay, dealing  spirit damage and applying immobilize.</t>
        </is>
      </c>
    </row>
    <row r="248">
      <c r="A248" t="inlineStr">
        <is>
          <t>Paige</t>
        </is>
      </c>
      <c r="B248" t="inlineStr">
        <is>
          <t>Defend and Fight!</t>
        </is>
      </c>
      <c r="C248" t="inlineStr">
        <is>
          <t>Damage</t>
        </is>
      </c>
      <c r="D248" t="inlineStr">
        <is>
          <t>Damage</t>
        </is>
      </c>
      <c r="E248" t="inlineStr">
        <is>
          <t>Grant an ally a barrier. While the barrier holds, they gain  bonus weapon damage.</t>
        </is>
      </c>
    </row>
    <row r="249">
      <c r="A249" t="inlineStr">
        <is>
          <t>Paige</t>
        </is>
      </c>
      <c r="B249" t="inlineStr">
        <is>
          <t>Defend and Fight!</t>
        </is>
      </c>
      <c r="C249" t="inlineStr">
        <is>
          <t>Tank</t>
        </is>
      </c>
      <c r="D249" t="inlineStr">
        <is>
          <t>Tank</t>
        </is>
      </c>
      <c r="E249" t="inlineStr">
        <is>
          <t>Grant an ally a barrier. While the barrier holds, they gain  bonus weapon damage.</t>
        </is>
      </c>
    </row>
    <row r="250">
      <c r="A250" t="inlineStr">
        <is>
          <t>Paige</t>
        </is>
      </c>
      <c r="B250" t="inlineStr">
        <is>
          <t>Defend and Fight!</t>
        </is>
      </c>
      <c r="C250" t="inlineStr">
        <is>
          <t>Utility</t>
        </is>
      </c>
      <c r="D250" t="inlineStr">
        <is>
          <t>Utility</t>
        </is>
      </c>
      <c r="E250" t="inlineStr">
        <is>
          <t>Grant an ally a barrier. While the barrier holds, they gain  bonus weapon damage.</t>
        </is>
      </c>
    </row>
    <row r="251">
      <c r="A251" t="inlineStr">
        <is>
          <t>Paige</t>
        </is>
      </c>
      <c r="B251" t="inlineStr">
        <is>
          <t>Rallying Charge</t>
        </is>
      </c>
      <c r="C251" t="inlineStr">
        <is>
          <t>Damage</t>
        </is>
      </c>
      <c r="D251" t="inlineStr">
        <is>
          <t>Damage</t>
        </is>
      </c>
      <c r="E251" t="inlineStr">
        <is>
          <t>Release a wave of spectral knights and steeds that charge across the entire city,  healing allies and dealing  spirit damage to enemies. The strength of the  heal and  spirit damage is amplified as the knights travel further.</t>
        </is>
      </c>
    </row>
    <row r="252">
      <c r="A252" t="inlineStr">
        <is>
          <t>Paige</t>
        </is>
      </c>
      <c r="B252" t="inlineStr">
        <is>
          <t>Rallying Charge</t>
        </is>
      </c>
      <c r="C252" t="inlineStr">
        <is>
          <t>Engage</t>
        </is>
      </c>
      <c r="D252" t="inlineStr">
        <is>
          <t>Pick</t>
        </is>
      </c>
      <c r="E252" t="inlineStr">
        <is>
          <t>Release a wave of spectral knights and steeds that charge across the entire city,  healing allies and dealing  spirit damage to enemies. The strength of the  heal and  spirit damage is amplified as the knights travel further.</t>
        </is>
      </c>
    </row>
    <row r="253">
      <c r="A253" t="inlineStr">
        <is>
          <t>Paige</t>
        </is>
      </c>
      <c r="B253" t="inlineStr">
        <is>
          <t>Rallying Charge</t>
        </is>
      </c>
      <c r="C253" t="inlineStr">
        <is>
          <t>Sustain</t>
        </is>
      </c>
      <c r="D253" t="inlineStr">
        <is>
          <t>Utility</t>
        </is>
      </c>
      <c r="E253" t="inlineStr">
        <is>
          <t>Release a wave of spectral knights and steeds that charge across the entire city,  healing allies and dealing  spirit damage to enemies. The strength of the  heal and  spirit damage is amplified as the knights travel further.</t>
        </is>
      </c>
    </row>
    <row r="254">
      <c r="A254" t="inlineStr">
        <is>
          <t>Paige</t>
        </is>
      </c>
      <c r="B254" t="inlineStr">
        <is>
          <t>Rallying Charge</t>
        </is>
      </c>
      <c r="C254" t="inlineStr">
        <is>
          <t>Utility</t>
        </is>
      </c>
      <c r="D254" t="inlineStr">
        <is>
          <t>Utility</t>
        </is>
      </c>
      <c r="E254" t="inlineStr">
        <is>
          <t>Release a wave of spectral knights and steeds that charge across the entire city,  healing allies and dealing  spirit damage to enemies. The strength of the  heal and  spirit damage is amplified as the knights travel further.</t>
        </is>
      </c>
    </row>
    <row r="255">
      <c r="A255" t="inlineStr">
        <is>
          <t>Paradox</t>
        </is>
      </c>
      <c r="B255" t="inlineStr">
        <is>
          <t>Pulse Grenade</t>
        </is>
      </c>
      <c r="C255" t="inlineStr">
        <is>
          <t>Damage</t>
        </is>
      </c>
      <c r="D255" t="inlineStr">
        <is>
          <t>Damage</t>
        </is>
      </c>
      <c r="E255" t="inlineStr">
        <is>
          <t>Throw a grenade that begins pulsing when it lands. Each pulse applies damage, movement slow, and stacking damage amplification for Paradox against the victim.</t>
        </is>
      </c>
    </row>
    <row r="256">
      <c r="A256" t="inlineStr">
        <is>
          <t>Paradox</t>
        </is>
      </c>
      <c r="B256" t="inlineStr">
        <is>
          <t>Pulse Grenade</t>
        </is>
      </c>
      <c r="C256" t="inlineStr">
        <is>
          <t>Pick</t>
        </is>
      </c>
      <c r="D256" t="inlineStr">
        <is>
          <t>Pick</t>
        </is>
      </c>
      <c r="E256" t="inlineStr">
        <is>
          <t>Throw a grenade that begins pulsing when it lands. Each pulse applies damage, movement slow, and stacking damage amplification for Paradox against the victim.</t>
        </is>
      </c>
    </row>
    <row r="257">
      <c r="A257" t="inlineStr">
        <is>
          <t>Paradox</t>
        </is>
      </c>
      <c r="B257" t="inlineStr">
        <is>
          <t>Pulse Grenade</t>
        </is>
      </c>
      <c r="C257" t="inlineStr">
        <is>
          <t>Utility</t>
        </is>
      </c>
      <c r="D257" t="inlineStr">
        <is>
          <t>Utility</t>
        </is>
      </c>
      <c r="E257" t="inlineStr">
        <is>
          <t>Throw a grenade that begins pulsing when it lands. Each pulse applies damage, movement slow, and stacking damage amplification for Paradox against the victim.</t>
        </is>
      </c>
    </row>
    <row r="258">
      <c r="A258" t="inlineStr">
        <is>
          <t>Paradox</t>
        </is>
      </c>
      <c r="B258" t="inlineStr">
        <is>
          <t>Time Wall</t>
        </is>
      </c>
      <c r="C258" t="inlineStr">
        <is>
          <t>Damage</t>
        </is>
      </c>
      <c r="D258" t="inlineStr">
        <is>
          <t>Damage</t>
        </is>
      </c>
      <c r="E258" t="inlineStr">
        <is>
          <t>Create a time warping wall that stops time for all enemy projectiles and bullets that touch it. Enemies that touch the wall will be briefly slowed.</t>
        </is>
      </c>
    </row>
    <row r="259">
      <c r="A259" t="inlineStr">
        <is>
          <t>Paradox</t>
        </is>
      </c>
      <c r="B259" t="inlineStr">
        <is>
          <t>Time Wall</t>
        </is>
      </c>
      <c r="C259" t="inlineStr">
        <is>
          <t>Pick</t>
        </is>
      </c>
      <c r="D259" t="inlineStr">
        <is>
          <t>Pick</t>
        </is>
      </c>
      <c r="E259" t="inlineStr">
        <is>
          <t>Create a time warping wall that stops time for all enemy projectiles and bullets that touch it. Enemies that touch the wall will be briefly slowed.</t>
        </is>
      </c>
    </row>
    <row r="260">
      <c r="A260" t="inlineStr">
        <is>
          <t>Paradox</t>
        </is>
      </c>
      <c r="B260" t="inlineStr">
        <is>
          <t>Time Wall</t>
        </is>
      </c>
      <c r="C260" t="inlineStr">
        <is>
          <t>Utility</t>
        </is>
      </c>
      <c r="D260" t="inlineStr">
        <is>
          <t>Utility</t>
        </is>
      </c>
      <c r="E260" t="inlineStr">
        <is>
          <t>Create a time warping wall that stops time for all enemy projectiles and bullets that touch it. Enemies that touch the wall will be briefly slowed.</t>
        </is>
      </c>
    </row>
    <row r="261">
      <c r="A261" t="inlineStr">
        <is>
          <t>Paradox</t>
        </is>
      </c>
      <c r="B261" t="inlineStr">
        <is>
          <t>Kinetic Carbine</t>
        </is>
      </c>
      <c r="C261" t="inlineStr">
        <is>
          <t>Damage</t>
        </is>
      </c>
      <c r="D261" t="inlineStr">
        <is>
          <t>Damage</t>
        </is>
      </c>
      <c r="E261" t="inlineStr">
        <is>
          <t>Charge up a powerful shot of time energy, dealing  spirit damage and applying a Time-Stop to enemies hit. The damage dealt increases with  weapon damage. Move speed is increased while charging. While in the air and charging, Alt-Fire button to timeslow your movement.</t>
        </is>
      </c>
    </row>
    <row r="262">
      <c r="A262" t="inlineStr">
        <is>
          <t>Paradox</t>
        </is>
      </c>
      <c r="B262" t="inlineStr">
        <is>
          <t>Kinetic Carbine</t>
        </is>
      </c>
      <c r="C262" t="inlineStr">
        <is>
          <t>Engage</t>
        </is>
      </c>
      <c r="D262" t="inlineStr">
        <is>
          <t>Pick</t>
        </is>
      </c>
      <c r="E262" t="inlineStr">
        <is>
          <t>Charge up a powerful shot of time energy, dealing  spirit damage and applying a Time-Stop to enemies hit. The damage dealt increases with  weapon damage. Move speed is increased while charging. While in the air and charging, Alt-Fire button to timeslow your movement.</t>
        </is>
      </c>
    </row>
    <row r="263">
      <c r="A263" t="inlineStr">
        <is>
          <t>Paradox</t>
        </is>
      </c>
      <c r="B263" t="inlineStr">
        <is>
          <t>Kinetic Carbine</t>
        </is>
      </c>
      <c r="C263" t="inlineStr">
        <is>
          <t>Pick</t>
        </is>
      </c>
      <c r="D263" t="inlineStr">
        <is>
          <t>Pick</t>
        </is>
      </c>
      <c r="E263" t="inlineStr">
        <is>
          <t>Charge up a powerful shot of time energy, dealing  spirit damage and applying a Time-Stop to enemies hit. The damage dealt increases with  weapon damage. Move speed is increased while charging. While in the air and charging, Alt-Fire button to timeslow your movement.</t>
        </is>
      </c>
    </row>
    <row r="264">
      <c r="A264" t="inlineStr">
        <is>
          <t>Paradox</t>
        </is>
      </c>
      <c r="B264" t="inlineStr">
        <is>
          <t>Kinetic Carbine</t>
        </is>
      </c>
      <c r="C264" t="inlineStr">
        <is>
          <t>Utility</t>
        </is>
      </c>
      <c r="D264" t="inlineStr">
        <is>
          <t>Utility</t>
        </is>
      </c>
      <c r="E264" t="inlineStr">
        <is>
          <t>Charge up a powerful shot of time energy, dealing  spirit damage and applying a Time-Stop to enemies hit. The damage dealt increases with  weapon damage. Move speed is increased while charging. While in the air and charging, Alt-Fire button to timeslow your movement.</t>
        </is>
      </c>
    </row>
    <row r="265">
      <c r="A265" t="inlineStr">
        <is>
          <t>Paradox</t>
        </is>
      </c>
      <c r="B265" t="inlineStr">
        <is>
          <t>Paradoxical Swap</t>
        </is>
      </c>
      <c r="C265" t="inlineStr">
        <is>
          <t>Damage</t>
        </is>
      </c>
      <c r="D265" t="inlineStr">
        <is>
          <t>Damage</t>
        </is>
      </c>
      <c r="E265" t="inlineStr">
        <is>
          <t>Fire a projectile that swaps your position with the target enemy hero. While the effect occurs, you gain spirit lifesteal and the enemy takes damage over time.</t>
        </is>
      </c>
    </row>
    <row r="266">
      <c r="A266" t="inlineStr">
        <is>
          <t>Paradox</t>
        </is>
      </c>
      <c r="B266" t="inlineStr">
        <is>
          <t>Paradoxical Swap</t>
        </is>
      </c>
      <c r="C266" t="inlineStr">
        <is>
          <t>Pick</t>
        </is>
      </c>
      <c r="D266" t="inlineStr">
        <is>
          <t>Pick</t>
        </is>
      </c>
      <c r="E266" t="inlineStr">
        <is>
          <t>Fire a projectile that swaps your position with the target enemy hero. While the effect occurs, you gain spirit lifesteal and the enemy takes damage over time.</t>
        </is>
      </c>
    </row>
    <row r="267">
      <c r="A267" t="inlineStr">
        <is>
          <t>Paradox</t>
        </is>
      </c>
      <c r="B267" t="inlineStr">
        <is>
          <t>Paradoxical Swap</t>
        </is>
      </c>
      <c r="C267" t="inlineStr">
        <is>
          <t>Sustain</t>
        </is>
      </c>
      <c r="D267" t="inlineStr">
        <is>
          <t>Utility</t>
        </is>
      </c>
      <c r="E267" t="inlineStr">
        <is>
          <t>Fire a projectile that swaps your position with the target enemy hero. While the effect occurs, you gain spirit lifesteal and the enemy takes damage over time.</t>
        </is>
      </c>
    </row>
    <row r="268">
      <c r="A268" t="inlineStr">
        <is>
          <t>Pocket</t>
        </is>
      </c>
      <c r="B268" t="inlineStr">
        <is>
          <t>Flying Cloak</t>
        </is>
      </c>
      <c r="C268" t="inlineStr">
        <is>
          <t>Damage</t>
        </is>
      </c>
      <c r="D268" t="inlineStr">
        <is>
          <t>Damage</t>
        </is>
      </c>
      <c r="E268" t="inlineStr">
        <is>
          <t>Launch a sentient cloak that travels forward and damages enemies. You can press  Ability 2 button  to teleport to its location.</t>
        </is>
      </c>
    </row>
    <row r="269">
      <c r="A269" t="inlineStr">
        <is>
          <t>Pocket</t>
        </is>
      </c>
      <c r="B269" t="inlineStr">
        <is>
          <t>Flying Cloak</t>
        </is>
      </c>
      <c r="C269" t="inlineStr">
        <is>
          <t>Engage</t>
        </is>
      </c>
      <c r="D269" t="inlineStr">
        <is>
          <t>Pick</t>
        </is>
      </c>
      <c r="E269" t="inlineStr">
        <is>
          <t>Launch a sentient cloak that travels forward and damages enemies. You can press  Ability 2 button  to teleport to its location.</t>
        </is>
      </c>
    </row>
    <row r="270">
      <c r="A270" t="inlineStr">
        <is>
          <t>Pocket</t>
        </is>
      </c>
      <c r="B270" t="inlineStr">
        <is>
          <t>Flying Cloak</t>
        </is>
      </c>
      <c r="C270" t="inlineStr">
        <is>
          <t>Utility</t>
        </is>
      </c>
      <c r="D270" t="inlineStr">
        <is>
          <t>Utility</t>
        </is>
      </c>
      <c r="E270" t="inlineStr">
        <is>
          <t>Launch a sentient cloak that travels forward and damages enemies. You can press  Ability 2 button  to teleport to its location.</t>
        </is>
      </c>
    </row>
    <row r="271">
      <c r="A271" t="inlineStr">
        <is>
          <t>Pocket</t>
        </is>
      </c>
      <c r="B271" t="inlineStr">
        <is>
          <t>Enchanter's Satchel</t>
        </is>
      </c>
      <c r="C271" t="inlineStr">
        <is>
          <t>Damage</t>
        </is>
      </c>
      <c r="D271" t="inlineStr">
        <is>
          <t>Damage</t>
        </is>
      </c>
      <c r="E271" t="inlineStr">
        <is>
          <t>Escape into your suitcase. When the duration ends, deal damage to nearby enemies. Duration can be ended early by performing any action.</t>
        </is>
      </c>
    </row>
    <row r="272">
      <c r="A272" t="inlineStr">
        <is>
          <t>Pocket</t>
        </is>
      </c>
      <c r="B272" t="inlineStr">
        <is>
          <t>Barrage</t>
        </is>
      </c>
      <c r="C272" t="inlineStr">
        <is>
          <t>Damage</t>
        </is>
      </c>
      <c r="D272" t="inlineStr">
        <is>
          <t>Damage</t>
        </is>
      </c>
      <c r="E272" t="inlineStr">
        <is>
          <t>Channel to start launching projectiles that deal damage and apply movement slow around their impact point. Each projectile landed on a hero grants you a stacking buff that amplifies all of your damage. If you cast it while in the air, you'll float and maintain any horizontal momentum you started with.</t>
        </is>
      </c>
    </row>
    <row r="273">
      <c r="A273" t="inlineStr">
        <is>
          <t>Pocket</t>
        </is>
      </c>
      <c r="B273" t="inlineStr">
        <is>
          <t>Barrage</t>
        </is>
      </c>
      <c r="C273" t="inlineStr">
        <is>
          <t>Engage</t>
        </is>
      </c>
      <c r="D273" t="inlineStr">
        <is>
          <t>Pick</t>
        </is>
      </c>
      <c r="E273" t="inlineStr">
        <is>
          <t>Channel to start launching projectiles that deal damage and apply movement slow around their impact point. Each projectile landed on a hero grants you a stacking buff that amplifies all of your damage. If you cast it while in the air, you'll float and maintain any horizontal momentum you started with.</t>
        </is>
      </c>
    </row>
    <row r="274">
      <c r="A274" t="inlineStr">
        <is>
          <t>Pocket</t>
        </is>
      </c>
      <c r="B274" t="inlineStr">
        <is>
          <t>Barrage</t>
        </is>
      </c>
      <c r="C274" t="inlineStr">
        <is>
          <t>Pick</t>
        </is>
      </c>
      <c r="D274" t="inlineStr">
        <is>
          <t>Pick</t>
        </is>
      </c>
      <c r="E274" t="inlineStr">
        <is>
          <t>Channel to start launching projectiles that deal damage and apply movement slow around their impact point. Each projectile landed on a hero grants you a stacking buff that amplifies all of your damage. If you cast it while in the air, you'll float and maintain any horizontal momentum you started with.</t>
        </is>
      </c>
    </row>
    <row r="275">
      <c r="A275" t="inlineStr">
        <is>
          <t>Pocket</t>
        </is>
      </c>
      <c r="B275" t="inlineStr">
        <is>
          <t>Barrage</t>
        </is>
      </c>
      <c r="C275" t="inlineStr">
        <is>
          <t>Utility</t>
        </is>
      </c>
      <c r="D275" t="inlineStr">
        <is>
          <t>Utility</t>
        </is>
      </c>
      <c r="E275" t="inlineStr">
        <is>
          <t>Channel to start launching projectiles that deal damage and apply movement slow around their impact point. Each projectile landed on a hero grants you a stacking buff that amplifies all of your damage. If you cast it while in the air, you'll float and maintain any horizontal momentum you started with.</t>
        </is>
      </c>
    </row>
    <row r="276">
      <c r="A276" t="inlineStr">
        <is>
          <t>Pocket</t>
        </is>
      </c>
      <c r="B276" t="inlineStr">
        <is>
          <t>Affliction</t>
        </is>
      </c>
      <c r="C276" t="inlineStr">
        <is>
          <t>Damage</t>
        </is>
      </c>
      <c r="D276" t="inlineStr">
        <is>
          <t>Damage</t>
        </is>
      </c>
      <c r="E276" t="inlineStr">
        <is>
          <t>Deals damage and applies damage over time to all enemies nearby. Affliction's damage is non-lethal and does not apply item procs.</t>
        </is>
      </c>
    </row>
    <row r="277">
      <c r="A277" t="inlineStr">
        <is>
          <t>Rem</t>
        </is>
      </c>
      <c r="B277" t="inlineStr">
        <is>
          <t>Pillow Toss</t>
        </is>
      </c>
      <c r="C277" t="inlineStr">
        <is>
          <t>Damage</t>
        </is>
      </c>
      <c r="D277" t="inlineStr">
        <is>
          <t>Damage</t>
        </is>
      </c>
      <c r="E277" t="inlineStr">
        <is>
          <t>Throw your trusty pillow inflicting  spirit damage and heavy  knockback. Landing hits reduces the cooldown of your other abilities.</t>
        </is>
      </c>
    </row>
    <row r="278">
      <c r="A278" t="inlineStr">
        <is>
          <t>Rem</t>
        </is>
      </c>
      <c r="B278" t="inlineStr">
        <is>
          <t>Pillow Toss</t>
        </is>
      </c>
      <c r="C278" t="inlineStr">
        <is>
          <t>Pick</t>
        </is>
      </c>
      <c r="D278" t="inlineStr">
        <is>
          <t>Pick</t>
        </is>
      </c>
      <c r="E278" t="inlineStr">
        <is>
          <t>Throw your trusty pillow inflicting  spirit damage and heavy  knockback. Landing hits reduces the cooldown of your other abilities.</t>
        </is>
      </c>
    </row>
    <row r="279">
      <c r="A279" t="inlineStr">
        <is>
          <t>Rem</t>
        </is>
      </c>
      <c r="B279" t="inlineStr">
        <is>
          <t>Pillow Toss</t>
        </is>
      </c>
      <c r="C279" t="inlineStr">
        <is>
          <t>Utility</t>
        </is>
      </c>
      <c r="D279" t="inlineStr">
        <is>
          <t>Utility</t>
        </is>
      </c>
      <c r="E279" t="inlineStr">
        <is>
          <t>Throw your trusty pillow inflicting  spirit damage and heavy  knockback. Landing hits reduces the cooldown of your other abilities.</t>
        </is>
      </c>
    </row>
    <row r="280">
      <c r="A280" t="inlineStr">
        <is>
          <t>Rem</t>
        </is>
      </c>
      <c r="B280" t="inlineStr">
        <is>
          <t>Naptime</t>
        </is>
      </c>
      <c r="C280" t="inlineStr">
        <is>
          <t>Damage</t>
        </is>
      </c>
      <c r="D280" t="inlineStr">
        <is>
          <t>Damage</t>
        </is>
      </c>
      <c r="E280" t="inlineStr">
        <is>
          <t>Rem's eyes cast your gaze forward, piercing walls and floors. Enemies in the gaze are slowed, reduced dash distance, and cannot use movement abilities. When the channel ends they fall asleep before waking up to a splitting headache that deals heavy  spirit damage.</t>
        </is>
      </c>
    </row>
    <row r="281">
      <c r="A281" t="inlineStr">
        <is>
          <t>Rem</t>
        </is>
      </c>
      <c r="B281" t="inlineStr">
        <is>
          <t>Naptime</t>
        </is>
      </c>
      <c r="C281" t="inlineStr">
        <is>
          <t>Engage</t>
        </is>
      </c>
      <c r="D281" t="inlineStr">
        <is>
          <t>Pick</t>
        </is>
      </c>
      <c r="E281" t="inlineStr">
        <is>
          <t>Rem's eyes cast your gaze forward, piercing walls and floors. Enemies in the gaze are slowed, reduced dash distance, and cannot use movement abilities. When the channel ends they fall asleep before waking up to a splitting headache that deals heavy  spirit damage.</t>
        </is>
      </c>
    </row>
    <row r="282">
      <c r="A282" t="inlineStr">
        <is>
          <t>Rem</t>
        </is>
      </c>
      <c r="B282" t="inlineStr">
        <is>
          <t>Naptime</t>
        </is>
      </c>
      <c r="C282" t="inlineStr">
        <is>
          <t>Pick</t>
        </is>
      </c>
      <c r="D282" t="inlineStr">
        <is>
          <t>Pick</t>
        </is>
      </c>
      <c r="E282" t="inlineStr">
        <is>
          <t>Rem's eyes cast your gaze forward, piercing walls and floors. Enemies in the gaze are slowed, reduced dash distance, and cannot use movement abilities. When the channel ends they fall asleep before waking up to a splitting headache that deals heavy  spirit damage.</t>
        </is>
      </c>
    </row>
    <row r="283">
      <c r="A283" t="inlineStr">
        <is>
          <t>Rem</t>
        </is>
      </c>
      <c r="B283" t="inlineStr">
        <is>
          <t>Naptime</t>
        </is>
      </c>
      <c r="C283" t="inlineStr">
        <is>
          <t>Utility</t>
        </is>
      </c>
      <c r="D283" t="inlineStr">
        <is>
          <t>Utility</t>
        </is>
      </c>
      <c r="E283" t="inlineStr">
        <is>
          <t>Rem's eyes cast your gaze forward, piercing walls and floors. Enemies in the gaze are slowed, reduced dash distance, and cannot use movement abilities. When the channel ends they fall asleep before waking up to a splitting headache that deals heavy  spirit damage.</t>
        </is>
      </c>
    </row>
    <row r="284">
      <c r="A284" t="inlineStr">
        <is>
          <t>Rem</t>
        </is>
      </c>
      <c r="B284" t="inlineStr">
        <is>
          <t>Lil Helpers</t>
        </is>
      </c>
      <c r="C284" t="inlineStr">
        <is>
          <t>Utility</t>
        </is>
      </c>
      <c r="D284" t="inlineStr">
        <is>
          <t>Utility</t>
        </is>
      </c>
      <c r="E284" t="inlineStr">
        <is>
          <t>Signal a Helper to lend a hand. They can collect boxes, do Sinner's Sacrifices, or be sent to support allies and troopers. Follow a hero:</t>
        </is>
      </c>
    </row>
    <row r="285">
      <c r="A285" t="inlineStr">
        <is>
          <t>Rem</t>
        </is>
      </c>
      <c r="B285" t="inlineStr">
        <is>
          <t>Tag Along</t>
        </is>
      </c>
      <c r="C285" t="inlineStr">
        <is>
          <t>Engage</t>
        </is>
      </c>
      <c r="D285" t="inlineStr">
        <is>
          <t>Pick</t>
        </is>
      </c>
      <c r="E285" t="inlineStr">
        <is>
          <t>Jump to an ally and nap alongside them. Both you and the ally receive a burst  heal based on missing health followed by lingering  regeneration. Hop between allies with Ability 2 button to refresh the duration, once per ally. You are knocked off if stunned by an ultimate ability.You can use items and all self-casts target your ally instead.</t>
        </is>
      </c>
    </row>
    <row r="286">
      <c r="A286" t="inlineStr">
        <is>
          <t>Rem</t>
        </is>
      </c>
      <c r="B286" t="inlineStr">
        <is>
          <t>Tag Along</t>
        </is>
      </c>
      <c r="C286" t="inlineStr">
        <is>
          <t>Pick</t>
        </is>
      </c>
      <c r="D286" t="inlineStr">
        <is>
          <t>Pick</t>
        </is>
      </c>
      <c r="E286" t="inlineStr">
        <is>
          <t>Jump to an ally and nap alongside them. Both you and the ally receive a burst  heal based on missing health followed by lingering  regeneration. Hop between allies with Ability 2 button to refresh the duration, once per ally. You are knocked off if stunned by an ultimate ability.You can use items and all self-casts target your ally instead.</t>
        </is>
      </c>
    </row>
    <row r="287">
      <c r="A287" t="inlineStr">
        <is>
          <t>Rem</t>
        </is>
      </c>
      <c r="B287" t="inlineStr">
        <is>
          <t>Tag Along</t>
        </is>
      </c>
      <c r="C287" t="inlineStr">
        <is>
          <t>Sustain</t>
        </is>
      </c>
      <c r="D287" t="inlineStr">
        <is>
          <t>Utility</t>
        </is>
      </c>
      <c r="E287" t="inlineStr">
        <is>
          <t>Jump to an ally and nap alongside them. Both you and the ally receive a burst  heal based on missing health followed by lingering  regeneration. Hop between allies with Ability 2 button to refresh the duration, once per ally. You are knocked off if stunned by an ultimate ability.You can use items and all self-casts target your ally instead.</t>
        </is>
      </c>
    </row>
    <row r="288">
      <c r="A288" t="inlineStr">
        <is>
          <t>Rem</t>
        </is>
      </c>
      <c r="B288" t="inlineStr">
        <is>
          <t>Tag Along</t>
        </is>
      </c>
      <c r="C288" t="inlineStr">
        <is>
          <t>Tank</t>
        </is>
      </c>
      <c r="D288" t="inlineStr">
        <is>
          <t>Tank</t>
        </is>
      </c>
      <c r="E288" t="inlineStr">
        <is>
          <t>Jump to an ally and nap alongside them. Both you and the ally receive a burst  heal based on missing health followed by lingering  regeneration. Hop between allies with Ability 2 button to refresh the duration, once per ally. You are knocked off if stunned by an ultimate ability.You can use items and all self-casts target your ally instead.</t>
        </is>
      </c>
    </row>
    <row r="289">
      <c r="A289" t="inlineStr">
        <is>
          <t>Rem</t>
        </is>
      </c>
      <c r="B289" t="inlineStr">
        <is>
          <t>Tag Along</t>
        </is>
      </c>
      <c r="C289" t="inlineStr">
        <is>
          <t>Utility</t>
        </is>
      </c>
      <c r="D289" t="inlineStr">
        <is>
          <t>Utility</t>
        </is>
      </c>
      <c r="E289" t="inlineStr">
        <is>
          <t>Jump to an ally and nap alongside them. Both you and the ally receive a burst  heal based on missing health followed by lingering  regeneration. Hop between allies with Ability 2 button to refresh the duration, once per ally. You are knocked off if stunned by an ultimate ability.You can use items and all self-casts target your ally instead.</t>
        </is>
      </c>
    </row>
    <row r="290">
      <c r="A290" t="inlineStr">
        <is>
          <t>Seven</t>
        </is>
      </c>
      <c r="B290" t="inlineStr">
        <is>
          <t>Lightning Ball</t>
        </is>
      </c>
      <c r="C290" t="inlineStr">
        <is>
          <t>Damage</t>
        </is>
      </c>
      <c r="D290" t="inlineStr">
        <is>
          <t>Damage</t>
        </is>
      </c>
      <c r="E290" t="inlineStr">
        <is>
          <t>Shoot a ball of lightning that travels in a straight line. Does damage to all targets in its radius. Slows down when damaging enemies and stops if it hits the world.</t>
        </is>
      </c>
    </row>
    <row r="291">
      <c r="A291" t="inlineStr">
        <is>
          <t>Seven</t>
        </is>
      </c>
      <c r="B291" t="inlineStr">
        <is>
          <t>Lightning Ball</t>
        </is>
      </c>
      <c r="C291" t="inlineStr">
        <is>
          <t>Pick</t>
        </is>
      </c>
      <c r="D291" t="inlineStr">
        <is>
          <t>Pick</t>
        </is>
      </c>
      <c r="E291" t="inlineStr">
        <is>
          <t>Shoot a ball of lightning that travels in a straight line. Does damage to all targets in its radius. Slows down when damaging enemies and stops if it hits the world.</t>
        </is>
      </c>
    </row>
    <row r="292">
      <c r="A292" t="inlineStr">
        <is>
          <t>Seven</t>
        </is>
      </c>
      <c r="B292" t="inlineStr">
        <is>
          <t>Lightning Ball</t>
        </is>
      </c>
      <c r="C292" t="inlineStr">
        <is>
          <t>Utility</t>
        </is>
      </c>
      <c r="D292" t="inlineStr">
        <is>
          <t>Utility</t>
        </is>
      </c>
      <c r="E292" t="inlineStr">
        <is>
          <t>Shoot a ball of lightning that travels in a straight line. Does damage to all targets in its radius. Slows down when damaging enemies and stops if it hits the world.</t>
        </is>
      </c>
    </row>
    <row r="293">
      <c r="A293" t="inlineStr">
        <is>
          <t>Seven</t>
        </is>
      </c>
      <c r="B293" t="inlineStr">
        <is>
          <t>Static Charge</t>
        </is>
      </c>
      <c r="C293" t="inlineStr">
        <is>
          <t>Damage</t>
        </is>
      </c>
      <c r="D293" t="inlineStr">
        <is>
          <t>Damage</t>
        </is>
      </c>
      <c r="E293" t="inlineStr">
        <is>
          <t>Apply a charge to a target enemy hero. After a short duration, the static charge stuns and damages enemies within the radius.</t>
        </is>
      </c>
    </row>
    <row r="294">
      <c r="A294" t="inlineStr">
        <is>
          <t>Seven</t>
        </is>
      </c>
      <c r="B294" t="inlineStr">
        <is>
          <t>Static Charge</t>
        </is>
      </c>
      <c r="C294" t="inlineStr">
        <is>
          <t>Engage</t>
        </is>
      </c>
      <c r="D294" t="inlineStr">
        <is>
          <t>Pick</t>
        </is>
      </c>
      <c r="E294" t="inlineStr">
        <is>
          <t>Apply a charge to a target enemy hero. After a short duration, the static charge stuns and damages enemies within the radius.</t>
        </is>
      </c>
    </row>
    <row r="295">
      <c r="A295" t="inlineStr">
        <is>
          <t>Seven</t>
        </is>
      </c>
      <c r="B295" t="inlineStr">
        <is>
          <t>Static Charge</t>
        </is>
      </c>
      <c r="C295" t="inlineStr">
        <is>
          <t>Pick</t>
        </is>
      </c>
      <c r="D295" t="inlineStr">
        <is>
          <t>Pick</t>
        </is>
      </c>
      <c r="E295" t="inlineStr">
        <is>
          <t>Apply a charge to a target enemy hero. After a short duration, the static charge stuns and damages enemies within the radius.</t>
        </is>
      </c>
    </row>
    <row r="296">
      <c r="A296" t="inlineStr">
        <is>
          <t>Seven</t>
        </is>
      </c>
      <c r="B296" t="inlineStr">
        <is>
          <t>Power Surge</t>
        </is>
      </c>
      <c r="C296" t="inlineStr">
        <is>
          <t>Damage</t>
        </is>
      </c>
      <c r="D296" t="inlineStr">
        <is>
          <t>Damage</t>
        </is>
      </c>
      <c r="E296" t="inlineStr">
        <is>
          <t>Power up your weapon with a shock effect, making your bullets proc shock damage on your target. This shock damage bounces to enemies near your target. Occurs once per burst shot.</t>
        </is>
      </c>
    </row>
    <row r="297">
      <c r="A297" t="inlineStr">
        <is>
          <t>Seven</t>
        </is>
      </c>
      <c r="B297" t="inlineStr">
        <is>
          <t>Storm Cloud</t>
        </is>
      </c>
      <c r="C297" t="inlineStr">
        <is>
          <t>Damage</t>
        </is>
      </c>
      <c r="D297" t="inlineStr">
        <is>
          <t>Damage</t>
        </is>
      </c>
      <c r="E297" t="inlineStr">
        <is>
          <t>Channel an expanding storm cloud around you that damages all enemies within its radius. Enemies do not take damage when they are out of line-of-sight. You have increased Bullet Resist during the channel.</t>
        </is>
      </c>
    </row>
    <row r="298">
      <c r="A298" t="inlineStr">
        <is>
          <t>Seven</t>
        </is>
      </c>
      <c r="B298" t="inlineStr">
        <is>
          <t>Storm Cloud</t>
        </is>
      </c>
      <c r="C298" t="inlineStr">
        <is>
          <t>Tank</t>
        </is>
      </c>
      <c r="D298" t="inlineStr">
        <is>
          <t>Tank</t>
        </is>
      </c>
      <c r="E298" t="inlineStr">
        <is>
          <t>Channel an expanding storm cloud around you that damages all enemies within its radius. Enemies do not take damage when they are out of line-of-sight. You have increased Bullet Resist during the channel.</t>
        </is>
      </c>
    </row>
    <row r="299">
      <c r="A299" t="inlineStr">
        <is>
          <t>Shiv</t>
        </is>
      </c>
      <c r="B299" t="inlineStr">
        <is>
          <t>Serrated Knives</t>
        </is>
      </c>
      <c r="C299" t="inlineStr">
        <is>
          <t>Damage</t>
        </is>
      </c>
      <c r="D299" t="inlineStr">
        <is>
          <t>Damage</t>
        </is>
      </c>
      <c r="E299" t="inlineStr">
        <is>
          <t>Throw a knife that damages and bleeds an enemy. Each additional hit adds a stack and refreshes the bleed duration, causing the bleed to increase per stack.</t>
        </is>
      </c>
    </row>
    <row r="300">
      <c r="A300" t="inlineStr">
        <is>
          <t>Shiv</t>
        </is>
      </c>
      <c r="B300" t="inlineStr">
        <is>
          <t>Slice and Dice</t>
        </is>
      </c>
      <c r="C300" t="inlineStr">
        <is>
          <t>Engage</t>
        </is>
      </c>
      <c r="D300" t="inlineStr">
        <is>
          <t>Pick</t>
        </is>
      </c>
      <c r="E300" t="inlineStr">
        <is>
          <t>Perform a dash forward, damaging enemies along the path. Ultimate Unlock: While rage is full an echo of Shiv retraces the dash path after a short delay, damaging enemies again.</t>
        </is>
      </c>
    </row>
    <row r="301">
      <c r="A301" t="inlineStr">
        <is>
          <t>Shiv</t>
        </is>
      </c>
      <c r="B301" t="inlineStr">
        <is>
          <t>Slice and Dice</t>
        </is>
      </c>
      <c r="C301" t="inlineStr">
        <is>
          <t>Utility</t>
        </is>
      </c>
      <c r="D301" t="inlineStr">
        <is>
          <t>Utility</t>
        </is>
      </c>
      <c r="E301" t="inlineStr">
        <is>
          <t>Perform a dash forward, damaging enemies along the path. Ultimate Unlock: While rage is full an echo of Shiv retraces the dash path after a short delay, damaging enemies again.</t>
        </is>
      </c>
    </row>
    <row r="302">
      <c r="A302" t="inlineStr">
        <is>
          <t>Shiv</t>
        </is>
      </c>
      <c r="B302" t="inlineStr">
        <is>
          <t>Bloodletting</t>
        </is>
      </c>
      <c r="C302" t="inlineStr">
        <is>
          <t>Damage</t>
        </is>
      </c>
      <c r="D302" t="inlineStr">
        <is>
          <t>Damage</t>
        </is>
      </c>
      <c r="E302" t="inlineStr">
        <is>
          <t>Take only a portion of incoming damage immediately and defer the rest to be taken over time. Activate to clear a portion of the deferred damage.</t>
        </is>
      </c>
    </row>
    <row r="303">
      <c r="A303" t="inlineStr">
        <is>
          <t>Shiv</t>
        </is>
      </c>
      <c r="B303" t="inlineStr">
        <is>
          <t>Killing Blow</t>
        </is>
      </c>
      <c r="C303" t="inlineStr">
        <is>
          <t>Damage</t>
        </is>
      </c>
      <c r="D303" t="inlineStr">
        <is>
          <t>Damage</t>
        </is>
      </c>
      <c r="E303" t="inlineStr">
        <is>
          <t>Active: Activate to leap towards an enemy hero and instantly kill them if their health is below the kill threshold, otherwise deal 200 damage to them. Passive: Passive: Damaging enemies fills you with rage. While at full rage, Shiv gains increased damage and special properties on his other abilities.</t>
        </is>
      </c>
    </row>
    <row r="304">
      <c r="A304" t="inlineStr">
        <is>
          <t>Shiv</t>
        </is>
      </c>
      <c r="B304" t="inlineStr">
        <is>
          <t>Killing Blow</t>
        </is>
      </c>
      <c r="C304" t="inlineStr">
        <is>
          <t>Engage</t>
        </is>
      </c>
      <c r="D304" t="inlineStr">
        <is>
          <t>Pick</t>
        </is>
      </c>
      <c r="E304" t="inlineStr">
        <is>
          <t>Active: Activate to leap towards an enemy hero and instantly kill them if their health is below the kill threshold, otherwise deal 200 damage to them. Passive: Passive: Damaging enemies fills you with rage. While at full rage, Shiv gains increased damage and special properties on his other abilities.</t>
        </is>
      </c>
    </row>
    <row r="305">
      <c r="A305" t="inlineStr">
        <is>
          <t>Shiv</t>
        </is>
      </c>
      <c r="B305" t="inlineStr">
        <is>
          <t>Killing Blow</t>
        </is>
      </c>
      <c r="C305" t="inlineStr">
        <is>
          <t>Sustain</t>
        </is>
      </c>
      <c r="D305" t="inlineStr">
        <is>
          <t>Utility</t>
        </is>
      </c>
      <c r="E305" t="inlineStr">
        <is>
          <t>Active: Activate to leap towards an enemy hero and instantly kill them if their health is below the kill threshold, otherwise deal 200 damage to them. Passive: Passive: Damaging enemies fills you with rage. While at full rage, Shiv gains increased damage and special properties on his other abilities.</t>
        </is>
      </c>
    </row>
    <row r="306">
      <c r="A306" t="inlineStr">
        <is>
          <t>Shiv</t>
        </is>
      </c>
      <c r="B306" t="inlineStr">
        <is>
          <t>Killing Blow</t>
        </is>
      </c>
      <c r="C306" t="inlineStr">
        <is>
          <t>Tank</t>
        </is>
      </c>
      <c r="D306" t="inlineStr">
        <is>
          <t>Tank</t>
        </is>
      </c>
      <c r="E306" t="inlineStr">
        <is>
          <t>Active: Activate to leap towards an enemy hero and instantly kill them if their health is below the kill threshold, otherwise deal 200 damage to them. Passive: Passive: Damaging enemies fills you with rage. While at full rage, Shiv gains increased damage and special properties on his other abilities.</t>
        </is>
      </c>
    </row>
    <row r="307">
      <c r="A307" t="inlineStr">
        <is>
          <t>Shiv</t>
        </is>
      </c>
      <c r="B307" t="inlineStr">
        <is>
          <t>Killing Blow</t>
        </is>
      </c>
      <c r="C307" t="inlineStr">
        <is>
          <t>Utility</t>
        </is>
      </c>
      <c r="D307" t="inlineStr">
        <is>
          <t>Utility</t>
        </is>
      </c>
      <c r="E307" t="inlineStr">
        <is>
          <t>Active: Activate to leap towards an enemy hero and instantly kill them if their health is below the kill threshold, otherwise deal 200 damage to them. Passive: Passive: Damaging enemies fills you with rage. While at full rage, Shiv gains increased damage and special properties on his other abilities.</t>
        </is>
      </c>
    </row>
    <row r="308">
      <c r="A308" t="inlineStr">
        <is>
          <t>Silver</t>
        </is>
      </c>
      <c r="B308" t="inlineStr">
        <is>
          <t>Slam Fire</t>
        </is>
      </c>
      <c r="C308" t="inlineStr">
        <is>
          <t>Damage</t>
        </is>
      </c>
      <c r="D308" t="inlineStr">
        <is>
          <t>Damage</t>
        </is>
      </c>
      <c r="E308" t="inlineStr">
        <is>
          <t>Instantly reload your gun. You gain  bonus fire rate and deal bonus  weapon damage based on the target's health for a limited number of shots, but suffer from reduced accuracy.</t>
        </is>
      </c>
    </row>
    <row r="309">
      <c r="A309" t="inlineStr">
        <is>
          <t>Silver</t>
        </is>
      </c>
      <c r="B309" t="inlineStr">
        <is>
          <t>Slam Fire</t>
        </is>
      </c>
      <c r="C309" t="inlineStr">
        <is>
          <t>Sustain</t>
        </is>
      </c>
      <c r="D309" t="inlineStr">
        <is>
          <t>Utility</t>
        </is>
      </c>
      <c r="E309" t="inlineStr">
        <is>
          <t>Instantly reload your gun. You gain  bonus fire rate and deal bonus  weapon damage based on the target's health for a limited number of shots, but suffer from reduced accuracy.</t>
        </is>
      </c>
    </row>
    <row r="310">
      <c r="A310" t="inlineStr">
        <is>
          <t>Silver</t>
        </is>
      </c>
      <c r="B310" t="inlineStr">
        <is>
          <t>Slam Fire</t>
        </is>
      </c>
      <c r="C310" t="inlineStr">
        <is>
          <t>Tank</t>
        </is>
      </c>
      <c r="D310" t="inlineStr">
        <is>
          <t>Tank</t>
        </is>
      </c>
      <c r="E310" t="inlineStr">
        <is>
          <t>Instantly reload your gun. You gain  bonus fire rate and deal bonus  weapon damage based on the target's health for a limited number of shots, but suffer from reduced accuracy.</t>
        </is>
      </c>
    </row>
    <row r="311">
      <c r="A311" t="inlineStr">
        <is>
          <t>Silver</t>
        </is>
      </c>
      <c r="B311" t="inlineStr">
        <is>
          <t>Slam Fire</t>
        </is>
      </c>
      <c r="C311" t="inlineStr">
        <is>
          <t>Utility</t>
        </is>
      </c>
      <c r="D311" t="inlineStr">
        <is>
          <t>Utility</t>
        </is>
      </c>
      <c r="E311" t="inlineStr">
        <is>
          <t>Instantly reload your gun. You gain  bonus fire rate and deal bonus  weapon damage based on the target's health for a limited number of shots, but suffer from reduced accuracy.</t>
        </is>
      </c>
    </row>
    <row r="312">
      <c r="A312" t="inlineStr">
        <is>
          <t>Silver</t>
        </is>
      </c>
      <c r="B312" t="inlineStr">
        <is>
          <t>Boot Kick</t>
        </is>
      </c>
      <c r="C312" t="inlineStr">
        <is>
          <t>Utility</t>
        </is>
      </c>
      <c r="D312" t="inlineStr">
        <is>
          <t>Utility</t>
        </is>
      </c>
      <c r="E312" t="inlineStr">
        <is>
          <t>-</t>
        </is>
      </c>
    </row>
    <row r="313">
      <c r="A313" t="inlineStr">
        <is>
          <t>Silver</t>
        </is>
      </c>
      <c r="B313" t="inlineStr">
        <is>
          <t>Entangling Bola</t>
        </is>
      </c>
      <c r="C313" t="inlineStr">
        <is>
          <t>Damage</t>
        </is>
      </c>
      <c r="D313" t="inlineStr">
        <is>
          <t>Damage</t>
        </is>
      </c>
      <c r="E313" t="inlineStr">
        <is>
          <t>Throw a bola, dealing  spirit damage, applying slow and preventing movement abilities, stamina, or jumping.</t>
        </is>
      </c>
    </row>
    <row r="314">
      <c r="A314" t="inlineStr">
        <is>
          <t>Silver</t>
        </is>
      </c>
      <c r="B314" t="inlineStr">
        <is>
          <t>Entangling Bola</t>
        </is>
      </c>
      <c r="C314" t="inlineStr">
        <is>
          <t>Engage</t>
        </is>
      </c>
      <c r="D314" t="inlineStr">
        <is>
          <t>Pick</t>
        </is>
      </c>
      <c r="E314" t="inlineStr">
        <is>
          <t>Throw a bola, dealing  spirit damage, applying slow and preventing movement abilities, stamina, or jumping.</t>
        </is>
      </c>
    </row>
    <row r="315">
      <c r="A315" t="inlineStr">
        <is>
          <t>Silver</t>
        </is>
      </c>
      <c r="B315" t="inlineStr">
        <is>
          <t>Entangling Bola</t>
        </is>
      </c>
      <c r="C315" t="inlineStr">
        <is>
          <t>Pick</t>
        </is>
      </c>
      <c r="D315" t="inlineStr">
        <is>
          <t>Pick</t>
        </is>
      </c>
      <c r="E315" t="inlineStr">
        <is>
          <t>Throw a bola, dealing  spirit damage, applying slow and preventing movement abilities, stamina, or jumping.</t>
        </is>
      </c>
    </row>
    <row r="316">
      <c r="A316" t="inlineStr">
        <is>
          <t>Silver</t>
        </is>
      </c>
      <c r="B316" t="inlineStr">
        <is>
          <t>Entangling Bola</t>
        </is>
      </c>
      <c r="C316" t="inlineStr">
        <is>
          <t>Utility</t>
        </is>
      </c>
      <c r="D316" t="inlineStr">
        <is>
          <t>Utility</t>
        </is>
      </c>
      <c r="E316" t="inlineStr">
        <is>
          <t>Throw a bola, dealing  spirit damage, applying slow and preventing movement abilities, stamina, or jumping.</t>
        </is>
      </c>
    </row>
    <row r="317">
      <c r="A317" t="inlineStr">
        <is>
          <t>Silver</t>
        </is>
      </c>
      <c r="B317" t="inlineStr">
        <is>
          <t>Lycan Curse</t>
        </is>
      </c>
      <c r="C317" t="inlineStr">
        <is>
          <t>Pick</t>
        </is>
      </c>
      <c r="D317" t="inlineStr">
        <is>
          <t>Pick</t>
        </is>
      </c>
      <c r="E317" t="inlineStr">
        <is>
          <t>Passive:</t>
        </is>
      </c>
    </row>
    <row r="318">
      <c r="A318" t="inlineStr">
        <is>
          <t>Sinclair</t>
        </is>
      </c>
      <c r="B318" t="inlineStr">
        <is>
          <t>Vexing Bolt</t>
        </is>
      </c>
      <c r="C318" t="inlineStr">
        <is>
          <t>Damage</t>
        </is>
      </c>
      <c r="D318" t="inlineStr">
        <is>
          <t>Damage</t>
        </is>
      </c>
      <c r="E318" t="inlineStr">
        <is>
          <t>Fire a bolt of magic that deals  Damage, increasing as it travels. If you have an Assistant, they also cast Vexing Bolt at reduced damage. Press  Ability 1 button  to redirect the bolt towards your crosshairs.</t>
        </is>
      </c>
    </row>
    <row r="319">
      <c r="A319" t="inlineStr">
        <is>
          <t>Sinclair</t>
        </is>
      </c>
      <c r="B319" t="inlineStr">
        <is>
          <t>Vexing Bolt</t>
        </is>
      </c>
      <c r="C319" t="inlineStr">
        <is>
          <t>Utility</t>
        </is>
      </c>
      <c r="D319" t="inlineStr">
        <is>
          <t>Utility</t>
        </is>
      </c>
      <c r="E319" t="inlineStr">
        <is>
          <t>Fire a bolt of magic that deals  Damage, increasing as it travels. If you have an Assistant, they also cast Vexing Bolt at reduced damage. Press  Ability 1 button  to redirect the bolt towards your crosshairs.</t>
        </is>
      </c>
    </row>
    <row r="320">
      <c r="A320" t="inlineStr">
        <is>
          <t>Sinclair</t>
        </is>
      </c>
      <c r="B320" t="inlineStr">
        <is>
          <t>Spectral Assistant</t>
        </is>
      </c>
      <c r="C320" t="inlineStr">
        <is>
          <t>Damage</t>
        </is>
      </c>
      <c r="D320" t="inlineStr">
        <is>
          <t>Damage</t>
        </is>
      </c>
      <c r="E320" t="inlineStr">
        <is>
          <t>Summon an Assistant at the targeted location. The Assistant attacks whenever you fire your weapon, dealing  Damage. While the Assistant is out, you can press  Ability 2 button  to swap positions with your Assistant. Casting Spectral Assistant also reloads your weapon.</t>
        </is>
      </c>
    </row>
    <row r="321">
      <c r="A321" t="inlineStr">
        <is>
          <t>Sinclair</t>
        </is>
      </c>
      <c r="B321" t="inlineStr">
        <is>
          <t>Spectral Assistant</t>
        </is>
      </c>
      <c r="C321" t="inlineStr">
        <is>
          <t>Pick</t>
        </is>
      </c>
      <c r="D321" t="inlineStr">
        <is>
          <t>Pick</t>
        </is>
      </c>
      <c r="E321" t="inlineStr">
        <is>
          <t>Summon an Assistant at the targeted location. The Assistant attacks whenever you fire your weapon, dealing  Damage. While the Assistant is out, you can press  Ability 2 button  to swap positions with your Assistant. Casting Spectral Assistant also reloads your weapon.</t>
        </is>
      </c>
    </row>
    <row r="322">
      <c r="A322" t="inlineStr">
        <is>
          <t>Sinclair</t>
        </is>
      </c>
      <c r="B322" t="inlineStr">
        <is>
          <t>Spectral Assistant</t>
        </is>
      </c>
      <c r="C322" t="inlineStr">
        <is>
          <t>Utility</t>
        </is>
      </c>
      <c r="D322" t="inlineStr">
        <is>
          <t>Utility</t>
        </is>
      </c>
      <c r="E322" t="inlineStr">
        <is>
          <t>Summon an Assistant at the targeted location. The Assistant attacks whenever you fire your weapon, dealing  Damage. While the Assistant is out, you can press  Ability 2 button  to swap positions with your Assistant. Casting Spectral Assistant also reloads your weapon.</t>
        </is>
      </c>
    </row>
    <row r="323">
      <c r="A323" t="inlineStr">
        <is>
          <t>Sinclair</t>
        </is>
      </c>
      <c r="B323" t="inlineStr">
        <is>
          <t>Audience Participation</t>
        </is>
      </c>
      <c r="C323" t="inlineStr">
        <is>
          <t>Utility</t>
        </is>
      </c>
      <c r="D323" t="inlineStr">
        <is>
          <t>Utility</t>
        </is>
      </c>
      <c r="E323" t="inlineStr">
        <is>
          <t>Copy the Ultimate of an enemy hero for a limited time. Reactivating the ability will use the Copied Ultimate instead. Copies will inherit this ability's upgrade points. Audience Participation will also copy the cooldown.</t>
        </is>
      </c>
    </row>
    <row r="324">
      <c r="A324" t="inlineStr">
        <is>
          <t>Sinclair</t>
        </is>
      </c>
      <c r="B324" t="inlineStr">
        <is>
          <t>Rabbit Hex</t>
        </is>
      </c>
      <c r="C324" t="inlineStr">
        <is>
          <t>Damage</t>
        </is>
      </c>
      <c r="D324" t="inlineStr">
        <is>
          <t>Damage</t>
        </is>
      </c>
      <c r="E324" t="inlineStr">
        <is>
          <t>Hex a target area and transforming all enemies into a Rabbit for a limited duration. Rabbits are small and  move faster, but take increased Damage and are unable to perform most actions. Hex does not interrupt abilities.</t>
        </is>
      </c>
    </row>
    <row r="325">
      <c r="A325" t="inlineStr">
        <is>
          <t>Venator</t>
        </is>
      </c>
      <c r="B325" t="inlineStr">
        <is>
          <t>Gutshot</t>
        </is>
      </c>
      <c r="C325" t="inlineStr">
        <is>
          <t>Damage</t>
        </is>
      </c>
      <c r="D325" t="inlineStr">
        <is>
          <t>Damage</t>
        </is>
      </c>
      <c r="E325" t="inlineStr">
        <is>
          <t>Fire a blast with your shotgun, dealing  weapon damage and pushing enemies back. Enemies near a wall receive  stun and take  bonus weapon damage.</t>
        </is>
      </c>
    </row>
    <row r="326">
      <c r="A326" t="inlineStr">
        <is>
          <t>Venator</t>
        </is>
      </c>
      <c r="B326" t="inlineStr">
        <is>
          <t>Gutshot</t>
        </is>
      </c>
      <c r="C326" t="inlineStr">
        <is>
          <t>Pick</t>
        </is>
      </c>
      <c r="D326" t="inlineStr">
        <is>
          <t>Pick</t>
        </is>
      </c>
      <c r="E326" t="inlineStr">
        <is>
          <t>Fire a blast with your shotgun, dealing  weapon damage and pushing enemies back. Enemies near a wall receive  stun and take  bonus weapon damage.</t>
        </is>
      </c>
    </row>
    <row r="327">
      <c r="A327" t="inlineStr">
        <is>
          <t>Venator</t>
        </is>
      </c>
      <c r="B327" t="inlineStr">
        <is>
          <t>Ira Domini</t>
        </is>
      </c>
      <c r="C327" t="inlineStr">
        <is>
          <t>Damage</t>
        </is>
      </c>
      <c r="D327" t="inlineStr">
        <is>
          <t>Damage</t>
        </is>
      </c>
      <c r="E327" t="inlineStr">
        <is>
          <t>Load your crossbow with 3 stakes, dealing massively increased  weapon damage. The final stake is blessed, dealing bonus  pure damage and executing low-health enemies.</t>
        </is>
      </c>
    </row>
    <row r="328">
      <c r="A328" t="inlineStr">
        <is>
          <t>Venator</t>
        </is>
      </c>
      <c r="B328" t="inlineStr">
        <is>
          <t>Ira Domini</t>
        </is>
      </c>
      <c r="C328" t="inlineStr">
        <is>
          <t>Sustain</t>
        </is>
      </c>
      <c r="D328" t="inlineStr">
        <is>
          <t>Utility</t>
        </is>
      </c>
      <c r="E328" t="inlineStr">
        <is>
          <t>Load your crossbow with 3 stakes, dealing massively increased  weapon damage. The final stake is blessed, dealing bonus  pure damage and executing low-health enemies.</t>
        </is>
      </c>
    </row>
    <row r="329">
      <c r="A329" t="inlineStr">
        <is>
          <t>Venator</t>
        </is>
      </c>
      <c r="B329" t="inlineStr">
        <is>
          <t>Ira Domini</t>
        </is>
      </c>
      <c r="C329" t="inlineStr">
        <is>
          <t>Tank</t>
        </is>
      </c>
      <c r="D329" t="inlineStr">
        <is>
          <t>Tank</t>
        </is>
      </c>
      <c r="E329" t="inlineStr">
        <is>
          <t>Load your crossbow with 3 stakes, dealing massively increased  weapon damage. The final stake is blessed, dealing bonus  pure damage and executing low-health enemies.</t>
        </is>
      </c>
    </row>
    <row r="330">
      <c r="A330" t="inlineStr">
        <is>
          <t>Venator</t>
        </is>
      </c>
      <c r="B330" t="inlineStr">
        <is>
          <t>Ira Domini</t>
        </is>
      </c>
      <c r="C330" t="inlineStr">
        <is>
          <t>Utility</t>
        </is>
      </c>
      <c r="D330" t="inlineStr">
        <is>
          <t>Utility</t>
        </is>
      </c>
      <c r="E330" t="inlineStr">
        <is>
          <t>Load your crossbow with 3 stakes, dealing massively increased  weapon damage. The final stake is blessed, dealing bonus  pure damage and executing low-health enemies.</t>
        </is>
      </c>
    </row>
    <row r="331">
      <c r="A331" t="inlineStr">
        <is>
          <t>Venator</t>
        </is>
      </c>
      <c r="B331" t="inlineStr">
        <is>
          <t>Consecrating Grenade</t>
        </is>
      </c>
      <c r="C331" t="inlineStr">
        <is>
          <t>Damage</t>
        </is>
      </c>
      <c r="D331" t="inlineStr">
        <is>
          <t>Damage</t>
        </is>
      </c>
      <c r="E331" t="inlineStr">
        <is>
          <t>Fire a grenade that bounces before exploding, dealing  weapon damage and setting enemies on fire. Burning targets deal  pure damage to enemies in the area and suffer from reduced healing.</t>
        </is>
      </c>
    </row>
    <row r="332">
      <c r="A332" t="inlineStr">
        <is>
          <t>Venator</t>
        </is>
      </c>
      <c r="B332" t="inlineStr">
        <is>
          <t>Consecrating Grenade</t>
        </is>
      </c>
      <c r="C332" t="inlineStr">
        <is>
          <t>Sustain</t>
        </is>
      </c>
      <c r="D332" t="inlineStr">
        <is>
          <t>Utility</t>
        </is>
      </c>
      <c r="E332" t="inlineStr">
        <is>
          <t>Fire a grenade that bounces before exploding, dealing  weapon damage and setting enemies on fire. Burning targets deal  pure damage to enemies in the area and suffer from reduced healing.</t>
        </is>
      </c>
    </row>
    <row r="333">
      <c r="A333" t="inlineStr">
        <is>
          <t>Venator</t>
        </is>
      </c>
      <c r="B333" t="inlineStr">
        <is>
          <t>Consecrating Grenade</t>
        </is>
      </c>
      <c r="C333" t="inlineStr">
        <is>
          <t>Utility</t>
        </is>
      </c>
      <c r="D333" t="inlineStr">
        <is>
          <t>Utility</t>
        </is>
      </c>
      <c r="E333" t="inlineStr">
        <is>
          <t>Fire a grenade that bounces before exploding, dealing  weapon damage and setting enemies on fire. Burning targets deal  pure damage to enemies in the area and suffer from reduced healing.</t>
        </is>
      </c>
    </row>
    <row r="334">
      <c r="A334" t="inlineStr">
        <is>
          <t>Venator</t>
        </is>
      </c>
      <c r="B334" t="inlineStr">
        <is>
          <t>Hex-Lined Snap Trap</t>
        </is>
      </c>
      <c r="C334" t="inlineStr">
        <is>
          <t>Damage</t>
        </is>
      </c>
      <c r="D334" t="inlineStr">
        <is>
          <t>Damage</t>
        </is>
      </c>
      <c r="E334" t="inlineStr">
        <is>
          <t>Kick a trap that arms after a brief delay. The trap springs on the first enemy it touches, dealing  spirit damage, applying immobilize, and revealing enemies for a duration afterwards.</t>
        </is>
      </c>
    </row>
    <row r="335">
      <c r="A335" t="inlineStr">
        <is>
          <t>Venator</t>
        </is>
      </c>
      <c r="B335" t="inlineStr">
        <is>
          <t>Hex-Lined Snap Trap</t>
        </is>
      </c>
      <c r="C335" t="inlineStr">
        <is>
          <t>Pick</t>
        </is>
      </c>
      <c r="D335" t="inlineStr">
        <is>
          <t>Pick</t>
        </is>
      </c>
      <c r="E335" t="inlineStr">
        <is>
          <t>Kick a trap that arms after a brief delay. The trap springs on the first enemy it touches, dealing  spirit damage, applying immobilize, and revealing enemies for a duration afterwards.</t>
        </is>
      </c>
    </row>
    <row r="336">
      <c r="A336" t="inlineStr">
        <is>
          <t>Venator</t>
        </is>
      </c>
      <c r="B336" t="inlineStr">
        <is>
          <t>Hex-Lined Snap Trap</t>
        </is>
      </c>
      <c r="C336" t="inlineStr">
        <is>
          <t>Utility</t>
        </is>
      </c>
      <c r="D336" t="inlineStr">
        <is>
          <t>Utility</t>
        </is>
      </c>
      <c r="E336" t="inlineStr">
        <is>
          <t>Kick a trap that arms after a brief delay. The trap springs on the first enemy it touches, dealing  spirit damage, applying immobilize, and revealing enemies for a duration afterwards.</t>
        </is>
      </c>
    </row>
    <row r="337">
      <c r="A337" t="inlineStr">
        <is>
          <t>Victor</t>
        </is>
      </c>
      <c r="B337" t="inlineStr">
        <is>
          <t>Jumpstart</t>
        </is>
      </c>
      <c r="C337" t="inlineStr">
        <is>
          <t>Damage</t>
        </is>
      </c>
      <c r="D337" t="inlineStr">
        <is>
          <t>Damage</t>
        </is>
      </c>
      <c r="E337" t="inlineStr">
        <is>
          <t>Deal  spirit damage to yourself. Then, gain bonus  regeneration and  bonus move speed, decaying over time.</t>
        </is>
      </c>
    </row>
    <row r="338">
      <c r="A338" t="inlineStr">
        <is>
          <t>Victor</t>
        </is>
      </c>
      <c r="B338" t="inlineStr">
        <is>
          <t>Jumpstart</t>
        </is>
      </c>
      <c r="C338" t="inlineStr">
        <is>
          <t>Engage</t>
        </is>
      </c>
      <c r="D338" t="inlineStr">
        <is>
          <t>Pick</t>
        </is>
      </c>
      <c r="E338" t="inlineStr">
        <is>
          <t>Deal  spirit damage to yourself. Then, gain bonus  regeneration and  bonus move speed, decaying over time.</t>
        </is>
      </c>
    </row>
    <row r="339">
      <c r="A339" t="inlineStr">
        <is>
          <t>Victor</t>
        </is>
      </c>
      <c r="B339" t="inlineStr">
        <is>
          <t>Jumpstart</t>
        </is>
      </c>
      <c r="C339" t="inlineStr">
        <is>
          <t>Utility</t>
        </is>
      </c>
      <c r="D339" t="inlineStr">
        <is>
          <t>Utility</t>
        </is>
      </c>
      <c r="E339" t="inlineStr">
        <is>
          <t>Deal  spirit damage to yourself. Then, gain bonus  regeneration and  bonus move speed, decaying over time.</t>
        </is>
      </c>
    </row>
    <row r="340">
      <c r="A340" t="inlineStr">
        <is>
          <t>Victor</t>
        </is>
      </c>
      <c r="B340" t="inlineStr">
        <is>
          <t>Aura of Suffering</t>
        </is>
      </c>
      <c r="C340" t="inlineStr">
        <is>
          <t>Damage</t>
        </is>
      </c>
      <c r="D340" t="inlineStr">
        <is>
          <t>Damage</t>
        </is>
      </c>
      <c r="E340" t="inlineStr">
        <is>
          <t>Unleash pain, dealing  spirit damage over time to both enemies and yourself. The damage continues to increase the longer the ability is channeled, up to a maximum amount.</t>
        </is>
      </c>
    </row>
    <row r="341">
      <c r="A341" t="inlineStr">
        <is>
          <t>Victor</t>
        </is>
      </c>
      <c r="B341" t="inlineStr">
        <is>
          <t>Shocking Reanimation</t>
        </is>
      </c>
      <c r="C341" t="inlineStr">
        <is>
          <t>Damage</t>
        </is>
      </c>
      <c r="D341" t="inlineStr">
        <is>
          <t>Damage</t>
        </is>
      </c>
      <c r="E341" t="inlineStr">
        <is>
          <t>Reanimate after taking lethal damage, dealing  spirit damage and applying  stun to nearby enemies.</t>
        </is>
      </c>
    </row>
    <row r="342">
      <c r="A342" t="inlineStr">
        <is>
          <t>Victor</t>
        </is>
      </c>
      <c r="B342" t="inlineStr">
        <is>
          <t>Shocking Reanimation</t>
        </is>
      </c>
      <c r="C342" t="inlineStr">
        <is>
          <t>Pick</t>
        </is>
      </c>
      <c r="D342" t="inlineStr">
        <is>
          <t>Pick</t>
        </is>
      </c>
      <c r="E342" t="inlineStr">
        <is>
          <t>Reanimate after taking lethal damage, dealing  spirit damage and applying  stun to nearby enemies.</t>
        </is>
      </c>
    </row>
    <row r="343">
      <c r="A343" t="inlineStr">
        <is>
          <t>Victor</t>
        </is>
      </c>
      <c r="B343" t="inlineStr">
        <is>
          <t>Pain Battery</t>
        </is>
      </c>
      <c r="C343" t="inlineStr">
        <is>
          <t>Damage</t>
        </is>
      </c>
      <c r="D343" t="inlineStr">
        <is>
          <t>Damage</t>
        </is>
      </c>
      <c r="E343" t="inlineStr">
        <is>
          <t>Taking any damage passively charges up your Pain Battery. Once full, activating the ability fires multiple shocking bolts, dealing  spirit damage once per target.</t>
        </is>
      </c>
    </row>
    <row r="344">
      <c r="A344" t="inlineStr">
        <is>
          <t>Victor</t>
        </is>
      </c>
      <c r="B344" t="inlineStr">
        <is>
          <t>Pain Battery</t>
        </is>
      </c>
      <c r="C344" t="inlineStr">
        <is>
          <t>Engage</t>
        </is>
      </c>
      <c r="D344" t="inlineStr">
        <is>
          <t>Pick</t>
        </is>
      </c>
      <c r="E344" t="inlineStr">
        <is>
          <t>Taking any damage passively charges up your Pain Battery. Once full, activating the ability fires multiple shocking bolts, dealing  spirit damage once per target.</t>
        </is>
      </c>
    </row>
    <row r="345">
      <c r="A345" t="inlineStr">
        <is>
          <t>Vindicta</t>
        </is>
      </c>
      <c r="B345" t="inlineStr">
        <is>
          <t>Stake</t>
        </is>
      </c>
      <c r="C345" t="inlineStr">
        <is>
          <t>Utility</t>
        </is>
      </c>
      <c r="D345" t="inlineStr">
        <is>
          <t>Utility</t>
        </is>
      </c>
      <c r="E345" t="inlineStr">
        <is>
          <t>Throw a stake that tethers enemies to the location where the stake lands. Enemy movement is restricted to the length of the tether.</t>
        </is>
      </c>
    </row>
    <row r="346">
      <c r="A346" t="inlineStr">
        <is>
          <t>Vindicta</t>
        </is>
      </c>
      <c r="B346" t="inlineStr">
        <is>
          <t>Flight</t>
        </is>
      </c>
      <c r="C346" t="inlineStr">
        <is>
          <t>Damage</t>
        </is>
      </c>
      <c r="D346" t="inlineStr">
        <is>
          <t>Damage</t>
        </is>
      </c>
      <c r="E346" t="inlineStr">
        <is>
          <t>Leap into the air and fly. While in flight your weapon deals bonus spirit damage.</t>
        </is>
      </c>
    </row>
    <row r="347">
      <c r="A347" t="inlineStr">
        <is>
          <t>Vindicta</t>
        </is>
      </c>
      <c r="B347" t="inlineStr">
        <is>
          <t>Flight</t>
        </is>
      </c>
      <c r="C347" t="inlineStr">
        <is>
          <t>Engage</t>
        </is>
      </c>
      <c r="D347" t="inlineStr">
        <is>
          <t>Pick</t>
        </is>
      </c>
      <c r="E347" t="inlineStr">
        <is>
          <t>Leap into the air and fly. While in flight your weapon deals bonus spirit damage.</t>
        </is>
      </c>
    </row>
    <row r="348">
      <c r="A348" t="inlineStr">
        <is>
          <t>Vindicta</t>
        </is>
      </c>
      <c r="B348" t="inlineStr">
        <is>
          <t>Crow Familiar</t>
        </is>
      </c>
      <c r="C348" t="inlineStr">
        <is>
          <t>Damage</t>
        </is>
      </c>
      <c r="D348" t="inlineStr">
        <is>
          <t>Damage</t>
        </is>
      </c>
      <c r="E348" t="inlineStr">
        <is>
          <t>Your crow familiar deals impact damage, reduces their bullet resist and applies a bleed that deals damage based on the target's current health.</t>
        </is>
      </c>
    </row>
    <row r="349">
      <c r="A349" t="inlineStr">
        <is>
          <t>Vindicta</t>
        </is>
      </c>
      <c r="B349" t="inlineStr">
        <is>
          <t>Crow Familiar</t>
        </is>
      </c>
      <c r="C349" t="inlineStr">
        <is>
          <t>Sustain</t>
        </is>
      </c>
      <c r="D349" t="inlineStr">
        <is>
          <t>Utility</t>
        </is>
      </c>
      <c r="E349" t="inlineStr">
        <is>
          <t>Your crow familiar deals impact damage, reduces their bullet resist and applies a bleed that deals damage based on the target's current health.</t>
        </is>
      </c>
    </row>
    <row r="350">
      <c r="A350" t="inlineStr">
        <is>
          <t>Vindicta</t>
        </is>
      </c>
      <c r="B350" t="inlineStr">
        <is>
          <t>Crow Familiar</t>
        </is>
      </c>
      <c r="C350" t="inlineStr">
        <is>
          <t>Tank</t>
        </is>
      </c>
      <c r="D350" t="inlineStr">
        <is>
          <t>Tank</t>
        </is>
      </c>
      <c r="E350" t="inlineStr">
        <is>
          <t>Your crow familiar deals impact damage, reduces their bullet resist and applies a bleed that deals damage based on the target's current health.</t>
        </is>
      </c>
    </row>
    <row r="351">
      <c r="A351" t="inlineStr">
        <is>
          <t>Vindicta</t>
        </is>
      </c>
      <c r="B351" t="inlineStr">
        <is>
          <t>Crow Familiar</t>
        </is>
      </c>
      <c r="C351" t="inlineStr">
        <is>
          <t>Utility</t>
        </is>
      </c>
      <c r="D351" t="inlineStr">
        <is>
          <t>Utility</t>
        </is>
      </c>
      <c r="E351" t="inlineStr">
        <is>
          <t>Your crow familiar deals impact damage, reduces their bullet resist and applies a bleed that deals damage based on the target's current health.</t>
        </is>
      </c>
    </row>
    <row r="352">
      <c r="A352" t="inlineStr">
        <is>
          <t>Vindicta</t>
        </is>
      </c>
      <c r="B352" t="inlineStr">
        <is>
          <t>Assassinate</t>
        </is>
      </c>
      <c r="C352" t="inlineStr">
        <is>
          <t>Damage</t>
        </is>
      </c>
      <c r="D352" t="inlineStr">
        <is>
          <t>Damage</t>
        </is>
      </c>
      <c r="E352" t="inlineStr">
        <is>
          <t>Use your scoped rifle to fire a powerful shot over long distances. Deal only partial damage until fully charged after 1.0s of being scoped. Does bonus damage to enemies with less than 50% health remaining. Landing a killing blow on a player with Assassinate grants you bonus weapon damage.</t>
        </is>
      </c>
    </row>
    <row r="353">
      <c r="A353" t="inlineStr">
        <is>
          <t>Vindicta</t>
        </is>
      </c>
      <c r="B353" t="inlineStr">
        <is>
          <t>Assassinate</t>
        </is>
      </c>
      <c r="C353" t="inlineStr">
        <is>
          <t>Engage</t>
        </is>
      </c>
      <c r="D353" t="inlineStr">
        <is>
          <t>Pick</t>
        </is>
      </c>
      <c r="E353" t="inlineStr">
        <is>
          <t>Use your scoped rifle to fire a powerful shot over long distances. Deal only partial damage until fully charged after 1.0s of being scoped. Does bonus damage to enemies with less than 50% health remaining. Landing a killing blow on a player with Assassinate grants you bonus weapon damage.</t>
        </is>
      </c>
    </row>
    <row r="354">
      <c r="A354" t="inlineStr">
        <is>
          <t>Vindicta</t>
        </is>
      </c>
      <c r="B354" t="inlineStr">
        <is>
          <t>Assassinate</t>
        </is>
      </c>
      <c r="C354" t="inlineStr">
        <is>
          <t>Sustain</t>
        </is>
      </c>
      <c r="D354" t="inlineStr">
        <is>
          <t>Utility</t>
        </is>
      </c>
      <c r="E354" t="inlineStr">
        <is>
          <t>Use your scoped rifle to fire a powerful shot over long distances. Deal only partial damage until fully charged after 1.0s of being scoped. Does bonus damage to enemies with less than 50% health remaining. Landing a killing blow on a player with Assassinate grants you bonus weapon damage.</t>
        </is>
      </c>
    </row>
    <row r="355">
      <c r="A355" t="inlineStr">
        <is>
          <t>Vindicta</t>
        </is>
      </c>
      <c r="B355" t="inlineStr">
        <is>
          <t>Assassinate</t>
        </is>
      </c>
      <c r="C355" t="inlineStr">
        <is>
          <t>Tank</t>
        </is>
      </c>
      <c r="D355" t="inlineStr">
        <is>
          <t>Tank</t>
        </is>
      </c>
      <c r="E355" t="inlineStr">
        <is>
          <t>Use your scoped rifle to fire a powerful shot over long distances. Deal only partial damage until fully charged after 1.0s of being scoped. Does bonus damage to enemies with less than 50% health remaining. Landing a killing blow on a player with Assassinate grants you bonus weapon damage.</t>
        </is>
      </c>
    </row>
    <row r="356">
      <c r="A356" t="inlineStr">
        <is>
          <t>Vindicta</t>
        </is>
      </c>
      <c r="B356" t="inlineStr">
        <is>
          <t>Assassinate</t>
        </is>
      </c>
      <c r="C356" t="inlineStr">
        <is>
          <t>Utility</t>
        </is>
      </c>
      <c r="D356" t="inlineStr">
        <is>
          <t>Utility</t>
        </is>
      </c>
      <c r="E356" t="inlineStr">
        <is>
          <t>Use your scoped rifle to fire a powerful shot over long distances. Deal only partial damage until fully charged after 1.0s of being scoped. Does bonus damage to enemies with less than 50% health remaining. Landing a killing blow on a player with Assassinate grants you bonus weapon damage.</t>
        </is>
      </c>
    </row>
    <row r="357">
      <c r="A357" t="inlineStr">
        <is>
          <t>Viscous</t>
        </is>
      </c>
      <c r="B357" t="inlineStr">
        <is>
          <t>Splatter</t>
        </is>
      </c>
      <c r="C357" t="inlineStr">
        <is>
          <t>Damage</t>
        </is>
      </c>
      <c r="D357" t="inlineStr">
        <is>
          <t>Damage</t>
        </is>
      </c>
      <c r="E357" t="inlineStr">
        <is>
          <t>Throw a ball of goo that deals damage and leaves puddles of goo behind that apply movement slow to enemies in the radius.</t>
        </is>
      </c>
    </row>
    <row r="358">
      <c r="A358" t="inlineStr">
        <is>
          <t>Viscous</t>
        </is>
      </c>
      <c r="B358" t="inlineStr">
        <is>
          <t>Splatter</t>
        </is>
      </c>
      <c r="C358" t="inlineStr">
        <is>
          <t>Pick</t>
        </is>
      </c>
      <c r="D358" t="inlineStr">
        <is>
          <t>Pick</t>
        </is>
      </c>
      <c r="E358" t="inlineStr">
        <is>
          <t>Throw a ball of goo that deals damage and leaves puddles of goo behind that apply movement slow to enemies in the radius.</t>
        </is>
      </c>
    </row>
    <row r="359">
      <c r="A359" t="inlineStr">
        <is>
          <t>Viscous</t>
        </is>
      </c>
      <c r="B359" t="inlineStr">
        <is>
          <t>Splatter</t>
        </is>
      </c>
      <c r="C359" t="inlineStr">
        <is>
          <t>Utility</t>
        </is>
      </c>
      <c r="D359" t="inlineStr">
        <is>
          <t>Utility</t>
        </is>
      </c>
      <c r="E359" t="inlineStr">
        <is>
          <t>Throw a ball of goo that deals damage and leaves puddles of goo behind that apply movement slow to enemies in the radius.</t>
        </is>
      </c>
    </row>
    <row r="360">
      <c r="A360" t="inlineStr">
        <is>
          <t>Viscous</t>
        </is>
      </c>
      <c r="B360" t="inlineStr">
        <is>
          <t>The Cube</t>
        </is>
      </c>
      <c r="C360" t="inlineStr">
        <is>
          <t>Damage</t>
        </is>
      </c>
      <c r="D360" t="inlineStr">
        <is>
          <t>Damage</t>
        </is>
      </c>
      <c r="E360" t="inlineStr">
        <is>
          <t>Encase the target in a cube of restorative goo that protects from damage, and increases health regen. Target is unable to take any new actions while cubed. Can be used on self. Press  Jump button  to escape early.</t>
        </is>
      </c>
    </row>
    <row r="361">
      <c r="A361" t="inlineStr">
        <is>
          <t>Viscous</t>
        </is>
      </c>
      <c r="B361" t="inlineStr">
        <is>
          <t>The Cube</t>
        </is>
      </c>
      <c r="C361" t="inlineStr">
        <is>
          <t>Engage</t>
        </is>
      </c>
      <c r="D361" t="inlineStr">
        <is>
          <t>Pick</t>
        </is>
      </c>
      <c r="E361" t="inlineStr">
        <is>
          <t>Encase the target in a cube of restorative goo that protects from damage, and increases health regen. Target is unable to take any new actions while cubed. Can be used on self. Press  Jump button  to escape early.</t>
        </is>
      </c>
    </row>
    <row r="362">
      <c r="A362" t="inlineStr">
        <is>
          <t>Viscous</t>
        </is>
      </c>
      <c r="B362" t="inlineStr">
        <is>
          <t>The Cube</t>
        </is>
      </c>
      <c r="C362" t="inlineStr">
        <is>
          <t>Sustain</t>
        </is>
      </c>
      <c r="D362" t="inlineStr">
        <is>
          <t>Utility</t>
        </is>
      </c>
      <c r="E362" t="inlineStr">
        <is>
          <t>Encase the target in a cube of restorative goo that protects from damage, and increases health regen. Target is unable to take any new actions while cubed. Can be used on self. Press  Jump button  to escape early.</t>
        </is>
      </c>
    </row>
    <row r="363">
      <c r="A363" t="inlineStr">
        <is>
          <t>Viscous</t>
        </is>
      </c>
      <c r="B363" t="inlineStr">
        <is>
          <t>The Cube</t>
        </is>
      </c>
      <c r="C363" t="inlineStr">
        <is>
          <t>Tank</t>
        </is>
      </c>
      <c r="D363" t="inlineStr">
        <is>
          <t>Tank</t>
        </is>
      </c>
      <c r="E363" t="inlineStr">
        <is>
          <t>Encase the target in a cube of restorative goo that protects from damage, and increases health regen. Target is unable to take any new actions while cubed. Can be used on self. Press  Jump button  to escape early.</t>
        </is>
      </c>
    </row>
    <row r="364">
      <c r="A364" t="inlineStr">
        <is>
          <t>Viscous</t>
        </is>
      </c>
      <c r="B364" t="inlineStr">
        <is>
          <t>The Cube</t>
        </is>
      </c>
      <c r="C364" t="inlineStr">
        <is>
          <t>Utility</t>
        </is>
      </c>
      <c r="D364" t="inlineStr">
        <is>
          <t>Utility</t>
        </is>
      </c>
      <c r="E364" t="inlineStr">
        <is>
          <t>Encase the target in a cube of restorative goo that protects from damage, and increases health regen. Target is unable to take any new actions while cubed. Can be used on self. Press  Jump button  to escape early.</t>
        </is>
      </c>
    </row>
    <row r="365">
      <c r="A365" t="inlineStr">
        <is>
          <t>Viscous</t>
        </is>
      </c>
      <c r="B365" t="inlineStr">
        <is>
          <t>Goo Ball</t>
        </is>
      </c>
      <c r="C365" t="inlineStr">
        <is>
          <t>Damage</t>
        </is>
      </c>
      <c r="D365" t="inlineStr">
        <is>
          <t>Damage</t>
        </is>
      </c>
      <c r="E365" t="inlineStr">
        <is>
          <t>Morph into a large goo ball that deals damage and stuns enemies on impact. The ball grants large amounts of Bullet and Spirit resist, bounces off walls and can double jump.</t>
        </is>
      </c>
    </row>
    <row r="366">
      <c r="A366" t="inlineStr">
        <is>
          <t>Viscous</t>
        </is>
      </c>
      <c r="B366" t="inlineStr">
        <is>
          <t>Goo Ball</t>
        </is>
      </c>
      <c r="C366" t="inlineStr">
        <is>
          <t>Engage</t>
        </is>
      </c>
      <c r="D366" t="inlineStr">
        <is>
          <t>Pick</t>
        </is>
      </c>
      <c r="E366" t="inlineStr">
        <is>
          <t>Morph into a large goo ball that deals damage and stuns enemies on impact. The ball grants large amounts of Bullet and Spirit resist, bounces off walls and can double jump.</t>
        </is>
      </c>
    </row>
    <row r="367">
      <c r="A367" t="inlineStr">
        <is>
          <t>Viscous</t>
        </is>
      </c>
      <c r="B367" t="inlineStr">
        <is>
          <t>Goo Ball</t>
        </is>
      </c>
      <c r="C367" t="inlineStr">
        <is>
          <t>Pick</t>
        </is>
      </c>
      <c r="D367" t="inlineStr">
        <is>
          <t>Pick</t>
        </is>
      </c>
      <c r="E367" t="inlineStr">
        <is>
          <t>Morph into a large goo ball that deals damage and stuns enemies on impact. The ball grants large amounts of Bullet and Spirit resist, bounces off walls and can double jump.</t>
        </is>
      </c>
    </row>
    <row r="368">
      <c r="A368" t="inlineStr">
        <is>
          <t>Viscous</t>
        </is>
      </c>
      <c r="B368" t="inlineStr">
        <is>
          <t>Goo Ball</t>
        </is>
      </c>
      <c r="C368" t="inlineStr">
        <is>
          <t>Tank</t>
        </is>
      </c>
      <c r="D368" t="inlineStr">
        <is>
          <t>Tank</t>
        </is>
      </c>
      <c r="E368" t="inlineStr">
        <is>
          <t>Morph into a large goo ball that deals damage and stuns enemies on impact. The ball grants large amounts of Bullet and Spirit resist, bounces off walls and can double jump.</t>
        </is>
      </c>
    </row>
    <row r="369">
      <c r="A369" t="inlineStr">
        <is>
          <t>Viscous</t>
        </is>
      </c>
      <c r="B369" t="inlineStr">
        <is>
          <t>Puddle Punch</t>
        </is>
      </c>
      <c r="C369" t="inlineStr">
        <is>
          <t>Damage</t>
        </is>
      </c>
      <c r="D369" t="inlineStr">
        <is>
          <t>Damage</t>
        </is>
      </c>
      <c r="E369" t="inlineStr">
        <is>
          <t>Materialize a fist in the world that punches everyone in the area, applying  knockup. Punching an enemy deals melee damage and applies slow.</t>
        </is>
      </c>
    </row>
    <row r="370">
      <c r="A370" t="inlineStr">
        <is>
          <t>Viscous</t>
        </is>
      </c>
      <c r="B370" t="inlineStr">
        <is>
          <t>Puddle Punch</t>
        </is>
      </c>
      <c r="C370" t="inlineStr">
        <is>
          <t>Pick</t>
        </is>
      </c>
      <c r="D370" t="inlineStr">
        <is>
          <t>Pick</t>
        </is>
      </c>
      <c r="E370" t="inlineStr">
        <is>
          <t>Materialize a fist in the world that punches everyone in the area, applying  knockup. Punching an enemy deals melee damage and applies slow.</t>
        </is>
      </c>
    </row>
    <row r="371">
      <c r="A371" t="inlineStr">
        <is>
          <t>Viscous</t>
        </is>
      </c>
      <c r="B371" t="inlineStr">
        <is>
          <t>Puddle Punch</t>
        </is>
      </c>
      <c r="C371" t="inlineStr">
        <is>
          <t>Utility</t>
        </is>
      </c>
      <c r="D371" t="inlineStr">
        <is>
          <t>Utility</t>
        </is>
      </c>
      <c r="E371" t="inlineStr">
        <is>
          <t>Materialize a fist in the world that punches everyone in the area, applying  knockup. Punching an enemy deals melee damage and applies slow.</t>
        </is>
      </c>
    </row>
    <row r="372">
      <c r="A372" t="inlineStr">
        <is>
          <t>Vyper</t>
        </is>
      </c>
      <c r="B372" t="inlineStr">
        <is>
          <t>Slither</t>
        </is>
      </c>
      <c r="C372" t="inlineStr">
        <is>
          <t>Utility</t>
        </is>
      </c>
      <c r="D372" t="inlineStr">
        <is>
          <t>Utility</t>
        </is>
      </c>
      <c r="E372" t="inlineStr">
        <is>
          <t>You have increased Slide Distance, can Slide up hills, and can turn faster while Sliding.</t>
        </is>
      </c>
    </row>
    <row r="373">
      <c r="A373" t="inlineStr">
        <is>
          <t>Vyper</t>
        </is>
      </c>
      <c r="B373" t="inlineStr">
        <is>
          <t>Lethal Venom</t>
        </is>
      </c>
      <c r="C373" t="inlineStr">
        <is>
          <t>Damage</t>
        </is>
      </c>
      <c r="D373" t="inlineStr">
        <is>
          <t>Damage</t>
        </is>
      </c>
      <c r="E373" t="inlineStr">
        <is>
          <t>Inject a target with lethal venom. After a delay the venom triggers, dealing Spirit Damage. The damage is increased by the target's missing health. Lethal Venom will ignore Petrify's damage block.</t>
        </is>
      </c>
    </row>
    <row r="374">
      <c r="A374" t="inlineStr">
        <is>
          <t>Vyper</t>
        </is>
      </c>
      <c r="B374" t="inlineStr">
        <is>
          <t>Lethal Venom</t>
        </is>
      </c>
      <c r="C374" t="inlineStr">
        <is>
          <t>Sustain</t>
        </is>
      </c>
      <c r="D374" t="inlineStr">
        <is>
          <t>Utility</t>
        </is>
      </c>
      <c r="E374" t="inlineStr">
        <is>
          <t>Inject a target with lethal venom. After a delay the venom triggers, dealing Spirit Damage. The damage is increased by the target's missing health. Lethal Venom will ignore Petrify's damage block.</t>
        </is>
      </c>
    </row>
    <row r="375">
      <c r="A375" t="inlineStr">
        <is>
          <t>Vyper</t>
        </is>
      </c>
      <c r="B375" t="inlineStr">
        <is>
          <t>Lethal Venom</t>
        </is>
      </c>
      <c r="C375" t="inlineStr">
        <is>
          <t>Tank</t>
        </is>
      </c>
      <c r="D375" t="inlineStr">
        <is>
          <t>Tank</t>
        </is>
      </c>
      <c r="E375" t="inlineStr">
        <is>
          <t>Inject a target with lethal venom. After a delay the venom triggers, dealing Spirit Damage. The damage is increased by the target's missing health. Lethal Venom will ignore Petrify's damage block.</t>
        </is>
      </c>
    </row>
    <row r="376">
      <c r="A376" t="inlineStr">
        <is>
          <t>Vyper</t>
        </is>
      </c>
      <c r="B376" t="inlineStr">
        <is>
          <t>Lethal Venom</t>
        </is>
      </c>
      <c r="C376" t="inlineStr">
        <is>
          <t>Utility</t>
        </is>
      </c>
      <c r="D376" t="inlineStr">
        <is>
          <t>Utility</t>
        </is>
      </c>
      <c r="E376" t="inlineStr">
        <is>
          <t>Inject a target with lethal venom. After a delay the venom triggers, dealing Spirit Damage. The damage is increased by the target's missing health. Lethal Venom will ignore Petrify's damage block.</t>
        </is>
      </c>
    </row>
    <row r="377">
      <c r="A377" t="inlineStr">
        <is>
          <t>Vyper</t>
        </is>
      </c>
      <c r="B377" t="inlineStr">
        <is>
          <t>Screwjab Dagger</t>
        </is>
      </c>
      <c r="C377" t="inlineStr">
        <is>
          <t>Damage</t>
        </is>
      </c>
      <c r="D377" t="inlineStr">
        <is>
          <t>Damage</t>
        </is>
      </c>
      <c r="E377" t="inlineStr">
        <is>
          <t>Throw a dagger, dealing  spirit damage and applying slow. Every subsequent dagger against the same target stacks in  spirit damage and slow.</t>
        </is>
      </c>
    </row>
    <row r="378">
      <c r="A378" t="inlineStr">
        <is>
          <t>Vyper</t>
        </is>
      </c>
      <c r="B378" t="inlineStr">
        <is>
          <t>Screwjab Dagger</t>
        </is>
      </c>
      <c r="C378" t="inlineStr">
        <is>
          <t>Pick</t>
        </is>
      </c>
      <c r="D378" t="inlineStr">
        <is>
          <t>Pick</t>
        </is>
      </c>
      <c r="E378" t="inlineStr">
        <is>
          <t>Throw a dagger, dealing  spirit damage and applying slow. Every subsequent dagger against the same target stacks in  spirit damage and slow.</t>
        </is>
      </c>
    </row>
    <row r="379">
      <c r="A379" t="inlineStr">
        <is>
          <t>Vyper</t>
        </is>
      </c>
      <c r="B379" t="inlineStr">
        <is>
          <t>Screwjab Dagger</t>
        </is>
      </c>
      <c r="C379" t="inlineStr">
        <is>
          <t>Utility</t>
        </is>
      </c>
      <c r="D379" t="inlineStr">
        <is>
          <t>Utility</t>
        </is>
      </c>
      <c r="E379" t="inlineStr">
        <is>
          <t>Throw a dagger, dealing  spirit damage and applying slow. Every subsequent dagger against the same target stacks in  spirit damage and slow.</t>
        </is>
      </c>
    </row>
    <row r="380">
      <c r="A380" t="inlineStr">
        <is>
          <t>Vyper</t>
        </is>
      </c>
      <c r="B380" t="inlineStr">
        <is>
          <t>Petrifying Bola</t>
        </is>
      </c>
      <c r="C380" t="inlineStr">
        <is>
          <t>Damage</t>
        </is>
      </c>
      <c r="D380" t="inlineStr">
        <is>
          <t>Damage</t>
        </is>
      </c>
      <c r="E380" t="inlineStr">
        <is>
          <t>Throw an explosive bola. On exploding, the bola  Slows and  Damages all enemies in the area. Direct hits deal  Additional Damage and Petrify instead. Petrified units block all damage, but cannot take actions.</t>
        </is>
      </c>
    </row>
    <row r="381">
      <c r="A381" t="inlineStr">
        <is>
          <t>Vyper</t>
        </is>
      </c>
      <c r="B381" t="inlineStr">
        <is>
          <t>Petrifying Bola</t>
        </is>
      </c>
      <c r="C381" t="inlineStr">
        <is>
          <t>Pick</t>
        </is>
      </c>
      <c r="D381" t="inlineStr">
        <is>
          <t>Pick</t>
        </is>
      </c>
      <c r="E381" t="inlineStr">
        <is>
          <t>Throw an explosive bola. On exploding, the bola  Slows and  Damages all enemies in the area. Direct hits deal  Additional Damage and Petrify instead. Petrified units block all damage, but cannot take actions.</t>
        </is>
      </c>
    </row>
    <row r="382">
      <c r="A382" t="inlineStr">
        <is>
          <t>Vyper</t>
        </is>
      </c>
      <c r="B382" t="inlineStr">
        <is>
          <t>Petrifying Bola</t>
        </is>
      </c>
      <c r="C382" t="inlineStr">
        <is>
          <t>Tank</t>
        </is>
      </c>
      <c r="D382" t="inlineStr">
        <is>
          <t>Tank</t>
        </is>
      </c>
      <c r="E382" t="inlineStr">
        <is>
          <t>Throw an explosive bola. On exploding, the bola  Slows and  Damages all enemies in the area. Direct hits deal  Additional Damage and Petrify instead. Petrified units block all damage, but cannot take actions.</t>
        </is>
      </c>
    </row>
    <row r="383">
      <c r="A383" t="inlineStr">
        <is>
          <t>Vyper</t>
        </is>
      </c>
      <c r="B383" t="inlineStr">
        <is>
          <t>Petrifying Bola</t>
        </is>
      </c>
      <c r="C383" t="inlineStr">
        <is>
          <t>Utility</t>
        </is>
      </c>
      <c r="D383" t="inlineStr">
        <is>
          <t>Utility</t>
        </is>
      </c>
      <c r="E383" t="inlineStr">
        <is>
          <t>Throw an explosive bola. On exploding, the bola  Slows and  Damages all enemies in the area. Direct hits deal  Additional Damage and Petrify instead. Petrified units block all damage, but cannot take actions.</t>
        </is>
      </c>
    </row>
    <row r="384">
      <c r="A384" t="inlineStr">
        <is>
          <t>Warden</t>
        </is>
      </c>
      <c r="B384" t="inlineStr">
        <is>
          <t>Binding Word</t>
        </is>
      </c>
      <c r="C384" t="inlineStr">
        <is>
          <t>Damage</t>
        </is>
      </c>
      <c r="D384" t="inlineStr">
        <is>
          <t>Damage</t>
        </is>
      </c>
      <c r="E384" t="inlineStr">
        <is>
          <t>Curse an enemy hero. If they don't move away from their initial position within the escape time, they will be damaged and immobilized.</t>
        </is>
      </c>
    </row>
    <row r="385">
      <c r="A385" t="inlineStr">
        <is>
          <t>Warden</t>
        </is>
      </c>
      <c r="B385" t="inlineStr">
        <is>
          <t>Binding Word</t>
        </is>
      </c>
      <c r="C385" t="inlineStr">
        <is>
          <t>Pick</t>
        </is>
      </c>
      <c r="D385" t="inlineStr">
        <is>
          <t>Pick</t>
        </is>
      </c>
      <c r="E385" t="inlineStr">
        <is>
          <t>Curse an enemy hero. If they don't move away from their initial position within the escape time, they will be damaged and immobilized.</t>
        </is>
      </c>
    </row>
    <row r="386">
      <c r="A386" t="inlineStr">
        <is>
          <t>Warden</t>
        </is>
      </c>
      <c r="B386" t="inlineStr">
        <is>
          <t>Willpower</t>
        </is>
      </c>
      <c r="C386" t="inlineStr">
        <is>
          <t>Tank</t>
        </is>
      </c>
      <c r="D386" t="inlineStr">
        <is>
          <t>Tank</t>
        </is>
      </c>
      <c r="E386" t="inlineStr">
        <is>
          <t>Gain a Barrier and bonus move speed.</t>
        </is>
      </c>
    </row>
    <row r="387">
      <c r="A387" t="inlineStr">
        <is>
          <t>Warden</t>
        </is>
      </c>
      <c r="B387" t="inlineStr">
        <is>
          <t>Willpower</t>
        </is>
      </c>
      <c r="C387" t="inlineStr">
        <is>
          <t>Utility</t>
        </is>
      </c>
      <c r="D387" t="inlineStr">
        <is>
          <t>Utility</t>
        </is>
      </c>
      <c r="E387" t="inlineStr">
        <is>
          <t>Gain a Barrier and bonus move speed.</t>
        </is>
      </c>
    </row>
    <row r="388">
      <c r="A388" t="inlineStr">
        <is>
          <t>Warden</t>
        </is>
      </c>
      <c r="B388" t="inlineStr">
        <is>
          <t>Alchemical Flask</t>
        </is>
      </c>
      <c r="C388" t="inlineStr">
        <is>
          <t>Damage</t>
        </is>
      </c>
      <c r="D388" t="inlineStr">
        <is>
          <t>Damage</t>
        </is>
      </c>
      <c r="E388" t="inlineStr">
        <is>
          <t>Throw a flask that damages and reduces the weapon damage and move speed of enemies it hits.</t>
        </is>
      </c>
    </row>
    <row r="389">
      <c r="A389" t="inlineStr">
        <is>
          <t>Warden</t>
        </is>
      </c>
      <c r="B389" t="inlineStr">
        <is>
          <t>Alchemical Flask</t>
        </is>
      </c>
      <c r="C389" t="inlineStr">
        <is>
          <t>Utility</t>
        </is>
      </c>
      <c r="D389" t="inlineStr">
        <is>
          <t>Utility</t>
        </is>
      </c>
      <c r="E389" t="inlineStr">
        <is>
          <t>Throw a flask that damages and reduces the weapon damage and move speed of enemies it hits.</t>
        </is>
      </c>
    </row>
    <row r="390">
      <c r="A390" t="inlineStr">
        <is>
          <t>Warden</t>
        </is>
      </c>
      <c r="B390" t="inlineStr">
        <is>
          <t>Last Stand</t>
        </is>
      </c>
      <c r="C390" t="inlineStr">
        <is>
          <t>Damage</t>
        </is>
      </c>
      <c r="D390" t="inlineStr">
        <is>
          <t>Damage</t>
        </is>
      </c>
      <c r="E390" t="inlineStr">
        <is>
          <t>After charging for 2s, release pulses that damage enemies and heal you based on the damage done. While channeling Last Stand you have greatly increased bullet and spirit resist.</t>
        </is>
      </c>
    </row>
    <row r="391">
      <c r="A391" t="inlineStr">
        <is>
          <t>Warden</t>
        </is>
      </c>
      <c r="B391" t="inlineStr">
        <is>
          <t>Last Stand</t>
        </is>
      </c>
      <c r="C391" t="inlineStr">
        <is>
          <t>Sustain</t>
        </is>
      </c>
      <c r="D391" t="inlineStr">
        <is>
          <t>Utility</t>
        </is>
      </c>
      <c r="E391" t="inlineStr">
        <is>
          <t>After charging for 2s, release pulses that damage enemies and heal you based on the damage done. While channeling Last Stand you have greatly increased bullet and spirit resist.</t>
        </is>
      </c>
    </row>
    <row r="392">
      <c r="A392" t="inlineStr">
        <is>
          <t>Warden</t>
        </is>
      </c>
      <c r="B392" t="inlineStr">
        <is>
          <t>Last Stand</t>
        </is>
      </c>
      <c r="C392" t="inlineStr">
        <is>
          <t>Tank</t>
        </is>
      </c>
      <c r="D392" t="inlineStr">
        <is>
          <t>Tank</t>
        </is>
      </c>
      <c r="E392" t="inlineStr">
        <is>
          <t>After charging for 2s, release pulses that damage enemies and heal you based on the damage done. While channeling Last Stand you have greatly increased bullet and spirit resist.</t>
        </is>
      </c>
    </row>
    <row r="393">
      <c r="A393" t="inlineStr">
        <is>
          <t>Warden</t>
        </is>
      </c>
      <c r="B393" t="inlineStr">
        <is>
          <t>Last Stand</t>
        </is>
      </c>
      <c r="C393" t="inlineStr">
        <is>
          <t>Utility</t>
        </is>
      </c>
      <c r="D393" t="inlineStr">
        <is>
          <t>Utility</t>
        </is>
      </c>
      <c r="E393" t="inlineStr">
        <is>
          <t>After charging for 2s, release pulses that damage enemies and heal you based on the damage done. While channeling Last Stand you have greatly increased bullet and spirit resist.</t>
        </is>
      </c>
    </row>
    <row r="394">
      <c r="A394" t="inlineStr">
        <is>
          <t>Wraith</t>
        </is>
      </c>
      <c r="B394" t="inlineStr">
        <is>
          <t>Telekinesis</t>
        </is>
      </c>
      <c r="C394" t="inlineStr">
        <is>
          <t>Pick</t>
        </is>
      </c>
      <c r="D394" t="inlineStr">
        <is>
          <t>Pick</t>
        </is>
      </c>
      <c r="E394" t="inlineStr">
        <is>
          <t>Lift an enemy hero into the air, stunning them, then slam them into the ground. Targets are silenced and disarmed afterwards.</t>
        </is>
      </c>
    </row>
    <row r="395">
      <c r="A395" t="inlineStr">
        <is>
          <t>Wraith</t>
        </is>
      </c>
      <c r="B395" t="inlineStr">
        <is>
          <t>Telekinesis</t>
        </is>
      </c>
      <c r="C395" t="inlineStr">
        <is>
          <t>Utility</t>
        </is>
      </c>
      <c r="D395" t="inlineStr">
        <is>
          <t>Utility</t>
        </is>
      </c>
      <c r="E395" t="inlineStr">
        <is>
          <t>Lift an enemy hero into the air, stunning them, then slam them into the ground. Targets are silenced and disarmed afterwards.</t>
        </is>
      </c>
    </row>
    <row r="396">
      <c r="A396" t="inlineStr">
        <is>
          <t>Wraith</t>
        </is>
      </c>
      <c r="B396" t="inlineStr">
        <is>
          <t>Project Mind</t>
        </is>
      </c>
      <c r="C396" t="inlineStr">
        <is>
          <t>Engage</t>
        </is>
      </c>
      <c r="D396" t="inlineStr">
        <is>
          <t>Pick</t>
        </is>
      </c>
      <c r="E396" t="inlineStr">
        <is>
          <t>Teleport to the targeted location.</t>
        </is>
      </c>
    </row>
    <row r="397">
      <c r="A397" t="inlineStr">
        <is>
          <t>Wraith</t>
        </is>
      </c>
      <c r="B397" t="inlineStr">
        <is>
          <t>Project Mind</t>
        </is>
      </c>
      <c r="C397" t="inlineStr">
        <is>
          <t>Utility</t>
        </is>
      </c>
      <c r="D397" t="inlineStr">
        <is>
          <t>Utility</t>
        </is>
      </c>
      <c r="E397" t="inlineStr">
        <is>
          <t>Teleport to the targeted location.</t>
        </is>
      </c>
    </row>
    <row r="398">
      <c r="A398" t="inlineStr">
        <is>
          <t>Wraith</t>
        </is>
      </c>
      <c r="B398" t="inlineStr">
        <is>
          <t>Full Auto</t>
        </is>
      </c>
      <c r="C398" t="inlineStr">
        <is>
          <t>Damage</t>
        </is>
      </c>
      <c r="D398" t="inlineStr">
        <is>
          <t>Damage</t>
        </is>
      </c>
      <c r="E398" t="inlineStr">
        <is>
          <t>Temporarily boosts your fire rate. Nearby allies receive half the fire rate bonus.</t>
        </is>
      </c>
    </row>
    <row r="399">
      <c r="A399" t="inlineStr">
        <is>
          <t>Wraith</t>
        </is>
      </c>
      <c r="B399" t="inlineStr">
        <is>
          <t>Full Auto</t>
        </is>
      </c>
      <c r="C399" t="inlineStr">
        <is>
          <t>Utility</t>
        </is>
      </c>
      <c r="D399" t="inlineStr">
        <is>
          <t>Utility</t>
        </is>
      </c>
      <c r="E399" t="inlineStr">
        <is>
          <t>Temporarily boosts your fire rate. Nearby allies receive half the fire rate bonus.</t>
        </is>
      </c>
    </row>
    <row r="400">
      <c r="A400" t="inlineStr">
        <is>
          <t>Wraith</t>
        </is>
      </c>
      <c r="B400" t="inlineStr">
        <is>
          <t>Card Trick</t>
        </is>
      </c>
      <c r="C400" t="inlineStr">
        <is>
          <t>Damage</t>
        </is>
      </c>
      <c r="D400" t="inlineStr">
        <is>
          <t>Damage</t>
        </is>
      </c>
      <c r="E400" t="inlineStr">
        <is>
          <t>Deal weapon damage to summon cards. Activate to throw a card that flies towards the enemy or point under your crosshair.</t>
        </is>
      </c>
    </row>
    <row r="401">
      <c r="A401" t="inlineStr">
        <is>
          <t>Wraith</t>
        </is>
      </c>
      <c r="B401" t="inlineStr">
        <is>
          <t>Card Trick</t>
        </is>
      </c>
      <c r="C401" t="inlineStr">
        <is>
          <t>Utility</t>
        </is>
      </c>
      <c r="D401" t="inlineStr">
        <is>
          <t>Utility</t>
        </is>
      </c>
      <c r="E401" t="inlineStr">
        <is>
          <t>Deal weapon damage to summon cards. Activate to throw a card that flies towards the enemy or point under your crosshair.</t>
        </is>
      </c>
    </row>
    <row r="402">
      <c r="A402" t="inlineStr">
        <is>
          <t>Yamato</t>
        </is>
      </c>
      <c r="B402" t="inlineStr">
        <is>
          <t>Power Slash</t>
        </is>
      </c>
      <c r="C402" t="inlineStr">
        <is>
          <t>Damage</t>
        </is>
      </c>
      <c r="D402" t="inlineStr">
        <is>
          <t>Damage</t>
        </is>
      </c>
      <c r="E402" t="inlineStr">
        <is>
          <t>Channel to increase damage over 1.4 seconds, then release a fully-charged sword strike. Press Ability 1 button or Fire button to trigger the strike early, dealing partial damage.</t>
        </is>
      </c>
    </row>
    <row r="403">
      <c r="A403" t="inlineStr">
        <is>
          <t>Yamato</t>
        </is>
      </c>
      <c r="B403" t="inlineStr">
        <is>
          <t>Power Slash</t>
        </is>
      </c>
      <c r="C403" t="inlineStr">
        <is>
          <t>Engage</t>
        </is>
      </c>
      <c r="D403" t="inlineStr">
        <is>
          <t>Pick</t>
        </is>
      </c>
      <c r="E403" t="inlineStr">
        <is>
          <t>Channel to increase damage over 1.4 seconds, then release a fully-charged sword strike. Press Ability 1 button or Fire button to trigger the strike early, dealing partial damage.</t>
        </is>
      </c>
    </row>
    <row r="404">
      <c r="A404" t="inlineStr">
        <is>
          <t>Yamato</t>
        </is>
      </c>
      <c r="B404" t="inlineStr">
        <is>
          <t>Flying Strike</t>
        </is>
      </c>
      <c r="C404" t="inlineStr">
        <is>
          <t>Damage</t>
        </is>
      </c>
      <c r="D404" t="inlineStr">
        <is>
          <t>Damage</t>
        </is>
      </c>
      <c r="E404" t="inlineStr">
        <is>
          <t>Throw a grappling hook to reel yourself towards an enemy, damaging and slowing the target when you arrive.</t>
        </is>
      </c>
    </row>
    <row r="405">
      <c r="A405" t="inlineStr">
        <is>
          <t>Yamato</t>
        </is>
      </c>
      <c r="B405" t="inlineStr">
        <is>
          <t>Flying Strike</t>
        </is>
      </c>
      <c r="C405" t="inlineStr">
        <is>
          <t>Pick</t>
        </is>
      </c>
      <c r="D405" t="inlineStr">
        <is>
          <t>Pick</t>
        </is>
      </c>
      <c r="E405" t="inlineStr">
        <is>
          <t>Throw a grappling hook to reel yourself towards an enemy, damaging and slowing the target when you arrive.</t>
        </is>
      </c>
    </row>
    <row r="406">
      <c r="A406" t="inlineStr">
        <is>
          <t>Yamato</t>
        </is>
      </c>
      <c r="B406" t="inlineStr">
        <is>
          <t>Flying Strike</t>
        </is>
      </c>
      <c r="C406" t="inlineStr">
        <is>
          <t>Utility</t>
        </is>
      </c>
      <c r="D406" t="inlineStr">
        <is>
          <t>Utility</t>
        </is>
      </c>
      <c r="E406" t="inlineStr">
        <is>
          <t>Throw a grappling hook to reel yourself towards an enemy, damaging and slowing the target when you arrive.</t>
        </is>
      </c>
    </row>
    <row r="407">
      <c r="A407" t="inlineStr">
        <is>
          <t>Yamato</t>
        </is>
      </c>
      <c r="B407" t="inlineStr">
        <is>
          <t>Crimson Slash</t>
        </is>
      </c>
      <c r="C407" t="inlineStr">
        <is>
          <t>Damage</t>
        </is>
      </c>
      <c r="D407" t="inlineStr">
        <is>
          <t>Damage</t>
        </is>
      </c>
      <c r="E407" t="inlineStr">
        <is>
          <t>Slash enemies in front of you, damaging them and slowing their fire rate. If any enemy heroes are hit, you heal.</t>
        </is>
      </c>
    </row>
    <row r="408">
      <c r="A408" t="inlineStr">
        <is>
          <t>Yamato</t>
        </is>
      </c>
      <c r="B408" t="inlineStr">
        <is>
          <t>Crimson Slash</t>
        </is>
      </c>
      <c r="C408" t="inlineStr">
        <is>
          <t>Pick</t>
        </is>
      </c>
      <c r="D408" t="inlineStr">
        <is>
          <t>Pick</t>
        </is>
      </c>
      <c r="E408" t="inlineStr">
        <is>
          <t>Slash enemies in front of you, damaging them and slowing their fire rate. If any enemy heroes are hit, you heal.</t>
        </is>
      </c>
    </row>
    <row r="409">
      <c r="A409" t="inlineStr">
        <is>
          <t>Yamato</t>
        </is>
      </c>
      <c r="B409" t="inlineStr">
        <is>
          <t>Crimson Slash</t>
        </is>
      </c>
      <c r="C409" t="inlineStr">
        <is>
          <t>Sustain</t>
        </is>
      </c>
      <c r="D409" t="inlineStr">
        <is>
          <t>Utility</t>
        </is>
      </c>
      <c r="E409" t="inlineStr">
        <is>
          <t>Slash enemies in front of you, damaging them and slowing their fire rate. If any enemy heroes are hit, you heal.</t>
        </is>
      </c>
    </row>
    <row r="410">
      <c r="A410" t="inlineStr">
        <is>
          <t>Yamato</t>
        </is>
      </c>
      <c r="B410" t="inlineStr">
        <is>
          <t>Crimson Slash</t>
        </is>
      </c>
      <c r="C410" t="inlineStr">
        <is>
          <t>Utility</t>
        </is>
      </c>
      <c r="D410" t="inlineStr">
        <is>
          <t>Utility</t>
        </is>
      </c>
      <c r="E410" t="inlineStr">
        <is>
          <t>Slash enemies in front of you, damaging them and slowing their fire rate. If any enemy heroes are hit, you heal.</t>
        </is>
      </c>
    </row>
    <row r="411">
      <c r="A411" t="inlineStr">
        <is>
          <t>Yamato</t>
        </is>
      </c>
      <c r="B411" t="inlineStr">
        <is>
          <t>Shadow Transformation</t>
        </is>
      </c>
      <c r="C411" t="inlineStr">
        <is>
          <t>Damage</t>
        </is>
      </c>
      <c r="D411" t="inlineStr">
        <is>
          <t>Damage</t>
        </is>
      </c>
      <c r="E411" t="inlineStr">
        <is>
          <t>Become infused with Yamato's shadow soul. After an initial invincible transformation your abilities are refreshed and are 60% faster. You gain immunity to negative status effects and have greatly increased bullet and spirit resist. When you get a hero kill, you heal and the duration is extended.</t>
        </is>
      </c>
    </row>
    <row r="412">
      <c r="A412" t="inlineStr">
        <is>
          <t>Yamato</t>
        </is>
      </c>
      <c r="B412" t="inlineStr">
        <is>
          <t>Shadow Transformation</t>
        </is>
      </c>
      <c r="C412" t="inlineStr">
        <is>
          <t>Sustain</t>
        </is>
      </c>
      <c r="D412" t="inlineStr">
        <is>
          <t>Utility</t>
        </is>
      </c>
      <c r="E412" t="inlineStr">
        <is>
          <t>Become infused with Yamato's shadow soul. After an initial invincible transformation your abilities are refreshed and are 60% faster. You gain immunity to negative status effects and have greatly increased bullet and spirit resist. When you get a hero kill, you heal and the duration is extended.</t>
        </is>
      </c>
    </row>
    <row r="413">
      <c r="A413" t="inlineStr">
        <is>
          <t>Yamato</t>
        </is>
      </c>
      <c r="B413" t="inlineStr">
        <is>
          <t>Shadow Transformation</t>
        </is>
      </c>
      <c r="C413" t="inlineStr">
        <is>
          <t>Tank</t>
        </is>
      </c>
      <c r="D413" t="inlineStr">
        <is>
          <t>Tank</t>
        </is>
      </c>
      <c r="E413" t="inlineStr">
        <is>
          <t>Become infused with Yamato's shadow soul. After an initial invincible transformation your abilities are refreshed and are 60% faster. You gain immunity to negative status effects and have greatly increased bullet and spirit resist. When you get a hero kill, you heal and the duration is extended.</t>
        </is>
      </c>
    </row>
    <row r="414">
      <c r="A414" t="inlineStr">
        <is>
          <t>Yamato</t>
        </is>
      </c>
      <c r="B414" t="inlineStr">
        <is>
          <t>Shadow Transformation</t>
        </is>
      </c>
      <c r="C414" t="inlineStr">
        <is>
          <t>Utility</t>
        </is>
      </c>
      <c r="D414" t="inlineStr">
        <is>
          <t>Utility</t>
        </is>
      </c>
      <c r="E414" t="inlineStr">
        <is>
          <t>Become infused with Yamato's shadow soul. After an initial invincible transformation your abilities are refreshed and are 60% faster. You gain immunity to negative status effects and have greatly increased bullet and spirit resist. When you get a hero kill, you heal and the duration is extended.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Hero</t>
        </is>
      </c>
      <c r="B1" s="1" t="inlineStr">
        <is>
          <t>Tank</t>
        </is>
      </c>
      <c r="C1" s="1" t="inlineStr">
        <is>
          <t>Pick</t>
        </is>
      </c>
      <c r="D1" s="1" t="inlineStr">
        <is>
          <t>Damage</t>
        </is>
      </c>
      <c r="E1" s="1" t="inlineStr">
        <is>
          <t>Utility</t>
        </is>
      </c>
      <c r="F1" s="1" t="inlineStr">
        <is>
          <t>Engage</t>
        </is>
      </c>
      <c r="G1" s="1" t="inlineStr">
        <is>
          <t>Sustain</t>
        </is>
      </c>
      <c r="H1" s="1" t="inlineStr">
        <is>
          <t>Role</t>
        </is>
      </c>
    </row>
    <row r="2">
      <c r="A2" t="inlineStr">
        <is>
          <t>Abrams</t>
        </is>
      </c>
      <c r="B2">
        <f>COUNTIFS('Ability Tags'!$A$2:$A$153,$A2,'Ability Tags'!$D$2:$D$153,"Tank")+IF(IFERROR(VLOOKUP($A2,Heroes!$A:$C,3,FALSE),"")="Tank",2,IF(IFERROR(VLOOKUP($A2,Heroes!$A:$C,3,FALSE),"")="Hybrid",1,0))</f>
        <v/>
      </c>
      <c r="C2">
        <f>COUNTIFS('Ability Tags'!$A$2:$A$153,$A2,'Ability Tags'!$D$2:$D$153,"Pick")+IF(IFERROR(VLOOKUP($A2,Heroes!$A:$C,3,FALSE),"")="Initiator/Catch",2,0)</f>
        <v/>
      </c>
      <c r="D2">
        <f>COUNTIFS('Ability Tags'!$A$2:$A$153,$A2,'Ability Tags'!$D$2:$D$153,"Damage")+IF(OR(IFERROR(VLOOKUP($A2,Heroes!$A:$C,3,FALSE),"")="Carry",IFERROR(VLOOKUP($A2,Heroes!$A:$C,3,FALSE),"")="Off-Carry"),2,IF(IFERROR(VLOOKUP($A2,Heroes!$A:$C,3,FALSE),"")="Hybrid",1,0))</f>
        <v/>
      </c>
      <c r="E2">
        <f>COUNTIFS('Ability Tags'!$A$2:$A$153,$A2,'Ability Tags'!$D$2:$D$153,"Utility")+IF(OR(IFERROR(VLOOKUP($A2,Heroes!$A:$C,3,FALSE),"")="Support",IFERROR(VLOOKUP($A2,Heroes!$A:$C,3,FALSE),"")="Comfort"),2,IF(IFERROR(VLOOKUP($A2,Heroes!$A:$C,3,FALSE),"")="Hybrid",2,0))</f>
        <v/>
      </c>
      <c r="F2">
        <f>COUNTIFS('Ability Tags'!$A$2:$A$153,$A2,'Ability Tags'!$C$2:$C$153,"Engage")</f>
        <v/>
      </c>
      <c r="G2">
        <f>COUNTIFS('Ability Tags'!$A$2:$A$153,$A2,'Ability Tags'!$C$2:$C$153,"Sustain")</f>
        <v/>
      </c>
      <c r="H2">
        <f>CHOOSE(MATCH(MAX(B2:E2),B2:E2,0),"Tank","Pick","Damage","Utility")</f>
        <v/>
      </c>
    </row>
    <row r="3">
      <c r="A3" t="inlineStr">
        <is>
          <t>Apollo</t>
        </is>
      </c>
      <c r="B3">
        <f>COUNTIFS('Ability Tags'!$A$2:$A$153,$A3,'Ability Tags'!$D$2:$D$153,"Tank")+IF(IFERROR(VLOOKUP($A3,Heroes!$A:$C,3,FALSE),"")="Tank",2,IF(IFERROR(VLOOKUP($A3,Heroes!$A:$C,3,FALSE),"")="Hybrid",1,0))</f>
        <v/>
      </c>
      <c r="C3">
        <f>COUNTIFS('Ability Tags'!$A$2:$A$153,$A3,'Ability Tags'!$D$2:$D$153,"Pick")+IF(IFERROR(VLOOKUP($A3,Heroes!$A:$C,3,FALSE),"")="Initiator/Catch",2,0)</f>
        <v/>
      </c>
      <c r="D3">
        <f>COUNTIFS('Ability Tags'!$A$2:$A$153,$A3,'Ability Tags'!$D$2:$D$153,"Damage")+IF(OR(IFERROR(VLOOKUP($A3,Heroes!$A:$C,3,FALSE),"")="Carry",IFERROR(VLOOKUP($A3,Heroes!$A:$C,3,FALSE),"")="Off-Carry"),2,IF(IFERROR(VLOOKUP($A3,Heroes!$A:$C,3,FALSE),"")="Hybrid",1,0))</f>
        <v/>
      </c>
      <c r="E3">
        <f>COUNTIFS('Ability Tags'!$A$2:$A$153,$A3,'Ability Tags'!$D$2:$D$153,"Utility")+IF(OR(IFERROR(VLOOKUP($A3,Heroes!$A:$C,3,FALSE),"")="Support",IFERROR(VLOOKUP($A3,Heroes!$A:$C,3,FALSE),"")="Comfort"),2,IF(IFERROR(VLOOKUP($A3,Heroes!$A:$C,3,FALSE),"")="Hybrid",2,0))</f>
        <v/>
      </c>
      <c r="F3">
        <f>COUNTIFS('Ability Tags'!$A$2:$A$153,$A3,'Ability Tags'!$C$2:$C$153,"Engage")</f>
        <v/>
      </c>
      <c r="G3">
        <f>COUNTIFS('Ability Tags'!$A$2:$A$153,$A3,'Ability Tags'!$C$2:$C$153,"Sustain")</f>
        <v/>
      </c>
      <c r="H3">
        <f>CHOOSE(MATCH(MAX(B3:E3),B3:E3,0),"Tank","Pick","Damage","Utility")</f>
        <v/>
      </c>
    </row>
    <row r="4">
      <c r="A4" t="inlineStr">
        <is>
          <t>Bebop</t>
        </is>
      </c>
      <c r="B4">
        <f>COUNTIFS('Ability Tags'!$A$2:$A$153,$A4,'Ability Tags'!$D$2:$D$153,"Tank")+IF(IFERROR(VLOOKUP($A4,Heroes!$A:$C,3,FALSE),"")="Tank",2,IF(IFERROR(VLOOKUP($A4,Heroes!$A:$C,3,FALSE),"")="Hybrid",1,0))</f>
        <v/>
      </c>
      <c r="C4">
        <f>COUNTIFS('Ability Tags'!$A$2:$A$153,$A4,'Ability Tags'!$D$2:$D$153,"Pick")+IF(IFERROR(VLOOKUP($A4,Heroes!$A:$C,3,FALSE),"")="Initiator/Catch",2,0)</f>
        <v/>
      </c>
      <c r="D4">
        <f>COUNTIFS('Ability Tags'!$A$2:$A$153,$A4,'Ability Tags'!$D$2:$D$153,"Damage")+IF(OR(IFERROR(VLOOKUP($A4,Heroes!$A:$C,3,FALSE),"")="Carry",IFERROR(VLOOKUP($A4,Heroes!$A:$C,3,FALSE),"")="Off-Carry"),2,IF(IFERROR(VLOOKUP($A4,Heroes!$A:$C,3,FALSE),"")="Hybrid",1,0))</f>
        <v/>
      </c>
      <c r="E4">
        <f>COUNTIFS('Ability Tags'!$A$2:$A$153,$A4,'Ability Tags'!$D$2:$D$153,"Utility")+IF(OR(IFERROR(VLOOKUP($A4,Heroes!$A:$C,3,FALSE),"")="Support",IFERROR(VLOOKUP($A4,Heroes!$A:$C,3,FALSE),"")="Comfort"),2,IF(IFERROR(VLOOKUP($A4,Heroes!$A:$C,3,FALSE),"")="Hybrid",2,0))</f>
        <v/>
      </c>
      <c r="F4">
        <f>COUNTIFS('Ability Tags'!$A$2:$A$153,$A4,'Ability Tags'!$C$2:$C$153,"Engage")</f>
        <v/>
      </c>
      <c r="G4">
        <f>COUNTIFS('Ability Tags'!$A$2:$A$153,$A4,'Ability Tags'!$C$2:$C$153,"Sustain")</f>
        <v/>
      </c>
      <c r="H4">
        <f>CHOOSE(MATCH(MAX(B4:E4),B4:E4,0),"Tank","Pick","Damage","Utility")</f>
        <v/>
      </c>
    </row>
    <row r="5">
      <c r="A5" t="inlineStr">
        <is>
          <t>Billy</t>
        </is>
      </c>
      <c r="B5">
        <f>COUNTIFS('Ability Tags'!$A$2:$A$153,$A5,'Ability Tags'!$D$2:$D$153,"Tank")+IF(IFERROR(VLOOKUP($A5,Heroes!$A:$C,3,FALSE),"")="Tank",2,IF(IFERROR(VLOOKUP($A5,Heroes!$A:$C,3,FALSE),"")="Hybrid",1,0))</f>
        <v/>
      </c>
      <c r="C5">
        <f>COUNTIFS('Ability Tags'!$A$2:$A$153,$A5,'Ability Tags'!$D$2:$D$153,"Pick")+IF(IFERROR(VLOOKUP($A5,Heroes!$A:$C,3,FALSE),"")="Initiator/Catch",2,0)</f>
        <v/>
      </c>
      <c r="D5">
        <f>COUNTIFS('Ability Tags'!$A$2:$A$153,$A5,'Ability Tags'!$D$2:$D$153,"Damage")+IF(OR(IFERROR(VLOOKUP($A5,Heroes!$A:$C,3,FALSE),"")="Carry",IFERROR(VLOOKUP($A5,Heroes!$A:$C,3,FALSE),"")="Off-Carry"),2,IF(IFERROR(VLOOKUP($A5,Heroes!$A:$C,3,FALSE),"")="Hybrid",1,0))</f>
        <v/>
      </c>
      <c r="E5">
        <f>COUNTIFS('Ability Tags'!$A$2:$A$153,$A5,'Ability Tags'!$D$2:$D$153,"Utility")+IF(OR(IFERROR(VLOOKUP($A5,Heroes!$A:$C,3,FALSE),"")="Support",IFERROR(VLOOKUP($A5,Heroes!$A:$C,3,FALSE),"")="Comfort"),2,IF(IFERROR(VLOOKUP($A5,Heroes!$A:$C,3,FALSE),"")="Hybrid",2,0))</f>
        <v/>
      </c>
      <c r="F5">
        <f>COUNTIFS('Ability Tags'!$A$2:$A$153,$A5,'Ability Tags'!$C$2:$C$153,"Engage")</f>
        <v/>
      </c>
      <c r="G5">
        <f>COUNTIFS('Ability Tags'!$A$2:$A$153,$A5,'Ability Tags'!$C$2:$C$153,"Sustain")</f>
        <v/>
      </c>
      <c r="H5">
        <f>CHOOSE(MATCH(MAX(B5:E5),B5:E5,0),"Tank","Pick","Damage","Utility")</f>
        <v/>
      </c>
    </row>
    <row r="6">
      <c r="A6" t="inlineStr">
        <is>
          <t>Calico</t>
        </is>
      </c>
      <c r="B6">
        <f>COUNTIFS('Ability Tags'!$A$2:$A$153,$A6,'Ability Tags'!$D$2:$D$153,"Tank")+IF(IFERROR(VLOOKUP($A6,Heroes!$A:$C,3,FALSE),"")="Tank",2,IF(IFERROR(VLOOKUP($A6,Heroes!$A:$C,3,FALSE),"")="Hybrid",1,0))</f>
        <v/>
      </c>
      <c r="C6">
        <f>COUNTIFS('Ability Tags'!$A$2:$A$153,$A6,'Ability Tags'!$D$2:$D$153,"Pick")+IF(IFERROR(VLOOKUP($A6,Heroes!$A:$C,3,FALSE),"")="Initiator/Catch",2,0)</f>
        <v/>
      </c>
      <c r="D6">
        <f>COUNTIFS('Ability Tags'!$A$2:$A$153,$A6,'Ability Tags'!$D$2:$D$153,"Damage")+IF(OR(IFERROR(VLOOKUP($A6,Heroes!$A:$C,3,FALSE),"")="Carry",IFERROR(VLOOKUP($A6,Heroes!$A:$C,3,FALSE),"")="Off-Carry"),2,IF(IFERROR(VLOOKUP($A6,Heroes!$A:$C,3,FALSE),"")="Hybrid",1,0))</f>
        <v/>
      </c>
      <c r="E6">
        <f>COUNTIFS('Ability Tags'!$A$2:$A$153,$A6,'Ability Tags'!$D$2:$D$153,"Utility")+IF(OR(IFERROR(VLOOKUP($A6,Heroes!$A:$C,3,FALSE),"")="Support",IFERROR(VLOOKUP($A6,Heroes!$A:$C,3,FALSE),"")="Comfort"),2,IF(IFERROR(VLOOKUP($A6,Heroes!$A:$C,3,FALSE),"")="Hybrid",2,0))</f>
        <v/>
      </c>
      <c r="F6">
        <f>COUNTIFS('Ability Tags'!$A$2:$A$153,$A6,'Ability Tags'!$C$2:$C$153,"Engage")</f>
        <v/>
      </c>
      <c r="G6">
        <f>COUNTIFS('Ability Tags'!$A$2:$A$153,$A6,'Ability Tags'!$C$2:$C$153,"Sustain")</f>
        <v/>
      </c>
      <c r="H6">
        <f>CHOOSE(MATCH(MAX(B6:E6),B6:E6,0),"Tank","Pick","Damage","Utility")</f>
        <v/>
      </c>
    </row>
    <row r="7">
      <c r="A7" t="inlineStr">
        <is>
          <t>Celeste</t>
        </is>
      </c>
      <c r="B7">
        <f>COUNTIFS('Ability Tags'!$A$2:$A$153,$A7,'Ability Tags'!$D$2:$D$153,"Tank")+IF(IFERROR(VLOOKUP($A7,Heroes!$A:$C,3,FALSE),"")="Tank",2,IF(IFERROR(VLOOKUP($A7,Heroes!$A:$C,3,FALSE),"")="Hybrid",1,0))</f>
        <v/>
      </c>
      <c r="C7">
        <f>COUNTIFS('Ability Tags'!$A$2:$A$153,$A7,'Ability Tags'!$D$2:$D$153,"Pick")+IF(IFERROR(VLOOKUP($A7,Heroes!$A:$C,3,FALSE),"")="Initiator/Catch",2,0)</f>
        <v/>
      </c>
      <c r="D7">
        <f>COUNTIFS('Ability Tags'!$A$2:$A$153,$A7,'Ability Tags'!$D$2:$D$153,"Damage")+IF(OR(IFERROR(VLOOKUP($A7,Heroes!$A:$C,3,FALSE),"")="Carry",IFERROR(VLOOKUP($A7,Heroes!$A:$C,3,FALSE),"")="Off-Carry"),2,IF(IFERROR(VLOOKUP($A7,Heroes!$A:$C,3,FALSE),"")="Hybrid",1,0))</f>
        <v/>
      </c>
      <c r="E7">
        <f>COUNTIFS('Ability Tags'!$A$2:$A$153,$A7,'Ability Tags'!$D$2:$D$153,"Utility")+IF(OR(IFERROR(VLOOKUP($A7,Heroes!$A:$C,3,FALSE),"")="Support",IFERROR(VLOOKUP($A7,Heroes!$A:$C,3,FALSE),"")="Comfort"),2,IF(IFERROR(VLOOKUP($A7,Heroes!$A:$C,3,FALSE),"")="Hybrid",2,0))</f>
        <v/>
      </c>
      <c r="F7">
        <f>COUNTIFS('Ability Tags'!$A$2:$A$153,$A7,'Ability Tags'!$C$2:$C$153,"Engage")</f>
        <v/>
      </c>
      <c r="G7">
        <f>COUNTIFS('Ability Tags'!$A$2:$A$153,$A7,'Ability Tags'!$C$2:$C$153,"Sustain")</f>
        <v/>
      </c>
      <c r="H7">
        <f>CHOOSE(MATCH(MAX(B7:E7),B7:E7,0),"Tank","Pick","Damage","Utility")</f>
        <v/>
      </c>
    </row>
    <row r="8">
      <c r="A8" t="inlineStr">
        <is>
          <t>Doorman</t>
        </is>
      </c>
      <c r="B8">
        <f>COUNTIFS('Ability Tags'!$A$2:$A$153,$A8,'Ability Tags'!$D$2:$D$153,"Tank")+IF(IFERROR(VLOOKUP($A8,Heroes!$A:$C,3,FALSE),"")="Tank",2,IF(IFERROR(VLOOKUP($A8,Heroes!$A:$C,3,FALSE),"")="Hybrid",1,0))</f>
        <v/>
      </c>
      <c r="C8">
        <f>COUNTIFS('Ability Tags'!$A$2:$A$153,$A8,'Ability Tags'!$D$2:$D$153,"Pick")+IF(IFERROR(VLOOKUP($A8,Heroes!$A:$C,3,FALSE),"")="Initiator/Catch",2,0)</f>
        <v/>
      </c>
      <c r="D8">
        <f>COUNTIFS('Ability Tags'!$A$2:$A$153,$A8,'Ability Tags'!$D$2:$D$153,"Damage")+IF(OR(IFERROR(VLOOKUP($A8,Heroes!$A:$C,3,FALSE),"")="Carry",IFERROR(VLOOKUP($A8,Heroes!$A:$C,3,FALSE),"")="Off-Carry"),2,IF(IFERROR(VLOOKUP($A8,Heroes!$A:$C,3,FALSE),"")="Hybrid",1,0))</f>
        <v/>
      </c>
      <c r="E8">
        <f>COUNTIFS('Ability Tags'!$A$2:$A$153,$A8,'Ability Tags'!$D$2:$D$153,"Utility")+IF(OR(IFERROR(VLOOKUP($A8,Heroes!$A:$C,3,FALSE),"")="Support",IFERROR(VLOOKUP($A8,Heroes!$A:$C,3,FALSE),"")="Comfort"),2,IF(IFERROR(VLOOKUP($A8,Heroes!$A:$C,3,FALSE),"")="Hybrid",2,0))</f>
        <v/>
      </c>
      <c r="F8">
        <f>COUNTIFS('Ability Tags'!$A$2:$A$153,$A8,'Ability Tags'!$C$2:$C$153,"Engage")</f>
        <v/>
      </c>
      <c r="G8">
        <f>COUNTIFS('Ability Tags'!$A$2:$A$153,$A8,'Ability Tags'!$C$2:$C$153,"Sustain")</f>
        <v/>
      </c>
      <c r="H8">
        <f>CHOOSE(MATCH(MAX(B8:E8),B8:E8,0),"Tank","Pick","Damage","Utility")</f>
        <v/>
      </c>
    </row>
    <row r="9">
      <c r="A9" t="inlineStr">
        <is>
          <t>Drifter</t>
        </is>
      </c>
      <c r="B9">
        <f>COUNTIFS('Ability Tags'!$A$2:$A$153,$A9,'Ability Tags'!$D$2:$D$153,"Tank")+IF(IFERROR(VLOOKUP($A9,Heroes!$A:$C,3,FALSE),"")="Tank",2,IF(IFERROR(VLOOKUP($A9,Heroes!$A:$C,3,FALSE),"")="Hybrid",1,0))</f>
        <v/>
      </c>
      <c r="C9">
        <f>COUNTIFS('Ability Tags'!$A$2:$A$153,$A9,'Ability Tags'!$D$2:$D$153,"Pick")+IF(IFERROR(VLOOKUP($A9,Heroes!$A:$C,3,FALSE),"")="Initiator/Catch",2,0)</f>
        <v/>
      </c>
      <c r="D9">
        <f>COUNTIFS('Ability Tags'!$A$2:$A$153,$A9,'Ability Tags'!$D$2:$D$153,"Damage")+IF(OR(IFERROR(VLOOKUP($A9,Heroes!$A:$C,3,FALSE),"")="Carry",IFERROR(VLOOKUP($A9,Heroes!$A:$C,3,FALSE),"")="Off-Carry"),2,IF(IFERROR(VLOOKUP($A9,Heroes!$A:$C,3,FALSE),"")="Hybrid",1,0))</f>
        <v/>
      </c>
      <c r="E9">
        <f>COUNTIFS('Ability Tags'!$A$2:$A$153,$A9,'Ability Tags'!$D$2:$D$153,"Utility")+IF(OR(IFERROR(VLOOKUP($A9,Heroes!$A:$C,3,FALSE),"")="Support",IFERROR(VLOOKUP($A9,Heroes!$A:$C,3,FALSE),"")="Comfort"),2,IF(IFERROR(VLOOKUP($A9,Heroes!$A:$C,3,FALSE),"")="Hybrid",2,0))</f>
        <v/>
      </c>
      <c r="F9">
        <f>COUNTIFS('Ability Tags'!$A$2:$A$153,$A9,'Ability Tags'!$C$2:$C$153,"Engage")</f>
        <v/>
      </c>
      <c r="G9">
        <f>COUNTIFS('Ability Tags'!$A$2:$A$153,$A9,'Ability Tags'!$C$2:$C$153,"Sustain")</f>
        <v/>
      </c>
      <c r="H9">
        <f>CHOOSE(MATCH(MAX(B9:E9),B9:E9,0),"Tank","Pick","Damage","Utility")</f>
        <v/>
      </c>
    </row>
    <row r="10">
      <c r="A10" t="inlineStr">
        <is>
          <t>Dynamo</t>
        </is>
      </c>
      <c r="B10">
        <f>COUNTIFS('Ability Tags'!$A$2:$A$153,$A10,'Ability Tags'!$D$2:$D$153,"Tank")+IF(IFERROR(VLOOKUP($A10,Heroes!$A:$C,3,FALSE),"")="Tank",2,IF(IFERROR(VLOOKUP($A10,Heroes!$A:$C,3,FALSE),"")="Hybrid",1,0))</f>
        <v/>
      </c>
      <c r="C10">
        <f>COUNTIFS('Ability Tags'!$A$2:$A$153,$A10,'Ability Tags'!$D$2:$D$153,"Pick")+IF(IFERROR(VLOOKUP($A10,Heroes!$A:$C,3,FALSE),"")="Initiator/Catch",2,0)</f>
        <v/>
      </c>
      <c r="D10">
        <f>COUNTIFS('Ability Tags'!$A$2:$A$153,$A10,'Ability Tags'!$D$2:$D$153,"Damage")+IF(OR(IFERROR(VLOOKUP($A10,Heroes!$A:$C,3,FALSE),"")="Carry",IFERROR(VLOOKUP($A10,Heroes!$A:$C,3,FALSE),"")="Off-Carry"),2,IF(IFERROR(VLOOKUP($A10,Heroes!$A:$C,3,FALSE),"")="Hybrid",1,0))</f>
        <v/>
      </c>
      <c r="E10">
        <f>COUNTIFS('Ability Tags'!$A$2:$A$153,$A10,'Ability Tags'!$D$2:$D$153,"Utility")+IF(OR(IFERROR(VLOOKUP($A10,Heroes!$A:$C,3,FALSE),"")="Support",IFERROR(VLOOKUP($A10,Heroes!$A:$C,3,FALSE),"")="Comfort"),2,IF(IFERROR(VLOOKUP($A10,Heroes!$A:$C,3,FALSE),"")="Hybrid",2,0))</f>
        <v/>
      </c>
      <c r="F10">
        <f>COUNTIFS('Ability Tags'!$A$2:$A$153,$A10,'Ability Tags'!$C$2:$C$153,"Engage")</f>
        <v/>
      </c>
      <c r="G10">
        <f>COUNTIFS('Ability Tags'!$A$2:$A$153,$A10,'Ability Tags'!$C$2:$C$153,"Sustain")</f>
        <v/>
      </c>
      <c r="H10">
        <f>CHOOSE(MATCH(MAX(B10:E10),B10:E10,0),"Tank","Pick","Damage","Utility")</f>
        <v/>
      </c>
    </row>
    <row r="11">
      <c r="A11" t="inlineStr">
        <is>
          <t>Graves</t>
        </is>
      </c>
      <c r="B11">
        <f>COUNTIFS('Ability Tags'!$A$2:$A$153,$A11,'Ability Tags'!$D$2:$D$153,"Tank")+IF(IFERROR(VLOOKUP($A11,Heroes!$A:$C,3,FALSE),"")="Tank",2,IF(IFERROR(VLOOKUP($A11,Heroes!$A:$C,3,FALSE),"")="Hybrid",1,0))</f>
        <v/>
      </c>
      <c r="C11">
        <f>COUNTIFS('Ability Tags'!$A$2:$A$153,$A11,'Ability Tags'!$D$2:$D$153,"Pick")+IF(IFERROR(VLOOKUP($A11,Heroes!$A:$C,3,FALSE),"")="Initiator/Catch",2,0)</f>
        <v/>
      </c>
      <c r="D11">
        <f>COUNTIFS('Ability Tags'!$A$2:$A$153,$A11,'Ability Tags'!$D$2:$D$153,"Damage")+IF(OR(IFERROR(VLOOKUP($A11,Heroes!$A:$C,3,FALSE),"")="Carry",IFERROR(VLOOKUP($A11,Heroes!$A:$C,3,FALSE),"")="Off-Carry"),2,IF(IFERROR(VLOOKUP($A11,Heroes!$A:$C,3,FALSE),"")="Hybrid",1,0))</f>
        <v/>
      </c>
      <c r="E11">
        <f>COUNTIFS('Ability Tags'!$A$2:$A$153,$A11,'Ability Tags'!$D$2:$D$153,"Utility")+IF(OR(IFERROR(VLOOKUP($A11,Heroes!$A:$C,3,FALSE),"")="Support",IFERROR(VLOOKUP($A11,Heroes!$A:$C,3,FALSE),"")="Comfort"),2,IF(IFERROR(VLOOKUP($A11,Heroes!$A:$C,3,FALSE),"")="Hybrid",2,0))</f>
        <v/>
      </c>
      <c r="F11">
        <f>COUNTIFS('Ability Tags'!$A$2:$A$153,$A11,'Ability Tags'!$C$2:$C$153,"Engage")</f>
        <v/>
      </c>
      <c r="G11">
        <f>COUNTIFS('Ability Tags'!$A$2:$A$153,$A11,'Ability Tags'!$C$2:$C$153,"Sustain")</f>
        <v/>
      </c>
      <c r="H11">
        <f>CHOOSE(MATCH(MAX(B11:E11),B11:E11,0),"Tank","Pick","Damage","Utility")</f>
        <v/>
      </c>
    </row>
    <row r="12">
      <c r="A12" t="inlineStr">
        <is>
          <t>Grey Talon</t>
        </is>
      </c>
      <c r="B12">
        <f>COUNTIFS('Ability Tags'!$A$2:$A$153,$A12,'Ability Tags'!$D$2:$D$153,"Tank")+IF(IFERROR(VLOOKUP($A12,Heroes!$A:$C,3,FALSE),"")="Tank",2,IF(IFERROR(VLOOKUP($A12,Heroes!$A:$C,3,FALSE),"")="Hybrid",1,0))</f>
        <v/>
      </c>
      <c r="C12">
        <f>COUNTIFS('Ability Tags'!$A$2:$A$153,$A12,'Ability Tags'!$D$2:$D$153,"Pick")+IF(IFERROR(VLOOKUP($A12,Heroes!$A:$C,3,FALSE),"")="Initiator/Catch",2,0)</f>
        <v/>
      </c>
      <c r="D12">
        <f>COUNTIFS('Ability Tags'!$A$2:$A$153,$A12,'Ability Tags'!$D$2:$D$153,"Damage")+IF(OR(IFERROR(VLOOKUP($A12,Heroes!$A:$C,3,FALSE),"")="Carry",IFERROR(VLOOKUP($A12,Heroes!$A:$C,3,FALSE),"")="Off-Carry"),2,IF(IFERROR(VLOOKUP($A12,Heroes!$A:$C,3,FALSE),"")="Hybrid",1,0))</f>
        <v/>
      </c>
      <c r="E12">
        <f>COUNTIFS('Ability Tags'!$A$2:$A$153,$A12,'Ability Tags'!$D$2:$D$153,"Utility")+IF(OR(IFERROR(VLOOKUP($A12,Heroes!$A:$C,3,FALSE),"")="Support",IFERROR(VLOOKUP($A12,Heroes!$A:$C,3,FALSE),"")="Comfort"),2,IF(IFERROR(VLOOKUP($A12,Heroes!$A:$C,3,FALSE),"")="Hybrid",2,0))</f>
        <v/>
      </c>
      <c r="F12">
        <f>COUNTIFS('Ability Tags'!$A$2:$A$153,$A12,'Ability Tags'!$C$2:$C$153,"Engage")</f>
        <v/>
      </c>
      <c r="G12">
        <f>COUNTIFS('Ability Tags'!$A$2:$A$153,$A12,'Ability Tags'!$C$2:$C$153,"Sustain")</f>
        <v/>
      </c>
      <c r="H12">
        <f>CHOOSE(MATCH(MAX(B12:E12),B12:E12,0),"Tank","Pick","Damage","Utility")</f>
        <v/>
      </c>
    </row>
    <row r="13">
      <c r="A13" t="inlineStr">
        <is>
          <t>Haze</t>
        </is>
      </c>
      <c r="B13">
        <f>COUNTIFS('Ability Tags'!$A$2:$A$153,$A13,'Ability Tags'!$D$2:$D$153,"Tank")+IF(IFERROR(VLOOKUP($A13,Heroes!$A:$C,3,FALSE),"")="Tank",2,IF(IFERROR(VLOOKUP($A13,Heroes!$A:$C,3,FALSE),"")="Hybrid",1,0))</f>
        <v/>
      </c>
      <c r="C13">
        <f>COUNTIFS('Ability Tags'!$A$2:$A$153,$A13,'Ability Tags'!$D$2:$D$153,"Pick")+IF(IFERROR(VLOOKUP($A13,Heroes!$A:$C,3,FALSE),"")="Initiator/Catch",2,0)</f>
        <v/>
      </c>
      <c r="D13">
        <f>COUNTIFS('Ability Tags'!$A$2:$A$153,$A13,'Ability Tags'!$D$2:$D$153,"Damage")+IF(OR(IFERROR(VLOOKUP($A13,Heroes!$A:$C,3,FALSE),"")="Carry",IFERROR(VLOOKUP($A13,Heroes!$A:$C,3,FALSE),"")="Off-Carry"),2,IF(IFERROR(VLOOKUP($A13,Heroes!$A:$C,3,FALSE),"")="Hybrid",1,0))</f>
        <v/>
      </c>
      <c r="E13">
        <f>COUNTIFS('Ability Tags'!$A$2:$A$153,$A13,'Ability Tags'!$D$2:$D$153,"Utility")+IF(OR(IFERROR(VLOOKUP($A13,Heroes!$A:$C,3,FALSE),"")="Support",IFERROR(VLOOKUP($A13,Heroes!$A:$C,3,FALSE),"")="Comfort"),2,IF(IFERROR(VLOOKUP($A13,Heroes!$A:$C,3,FALSE),"")="Hybrid",2,0))</f>
        <v/>
      </c>
      <c r="F13">
        <f>COUNTIFS('Ability Tags'!$A$2:$A$153,$A13,'Ability Tags'!$C$2:$C$153,"Engage")</f>
        <v/>
      </c>
      <c r="G13">
        <f>COUNTIFS('Ability Tags'!$A$2:$A$153,$A13,'Ability Tags'!$C$2:$C$153,"Sustain")</f>
        <v/>
      </c>
      <c r="H13">
        <f>CHOOSE(MATCH(MAX(B13:E13),B13:E13,0),"Tank","Pick","Damage","Utility")</f>
        <v/>
      </c>
    </row>
    <row r="14">
      <c r="A14" t="inlineStr">
        <is>
          <t>Holliday</t>
        </is>
      </c>
      <c r="B14">
        <f>COUNTIFS('Ability Tags'!$A$2:$A$153,$A14,'Ability Tags'!$D$2:$D$153,"Tank")+IF(IFERROR(VLOOKUP($A14,Heroes!$A:$C,3,FALSE),"")="Tank",2,IF(IFERROR(VLOOKUP($A14,Heroes!$A:$C,3,FALSE),"")="Hybrid",1,0))</f>
        <v/>
      </c>
      <c r="C14">
        <f>COUNTIFS('Ability Tags'!$A$2:$A$153,$A14,'Ability Tags'!$D$2:$D$153,"Pick")+IF(IFERROR(VLOOKUP($A14,Heroes!$A:$C,3,FALSE),"")="Initiator/Catch",2,0)</f>
        <v/>
      </c>
      <c r="D14">
        <f>COUNTIFS('Ability Tags'!$A$2:$A$153,$A14,'Ability Tags'!$D$2:$D$153,"Damage")+IF(OR(IFERROR(VLOOKUP($A14,Heroes!$A:$C,3,FALSE),"")="Carry",IFERROR(VLOOKUP($A14,Heroes!$A:$C,3,FALSE),"")="Off-Carry"),2,IF(IFERROR(VLOOKUP($A14,Heroes!$A:$C,3,FALSE),"")="Hybrid",1,0))</f>
        <v/>
      </c>
      <c r="E14">
        <f>COUNTIFS('Ability Tags'!$A$2:$A$153,$A14,'Ability Tags'!$D$2:$D$153,"Utility")+IF(OR(IFERROR(VLOOKUP($A14,Heroes!$A:$C,3,FALSE),"")="Support",IFERROR(VLOOKUP($A14,Heroes!$A:$C,3,FALSE),"")="Comfort"),2,IF(IFERROR(VLOOKUP($A14,Heroes!$A:$C,3,FALSE),"")="Hybrid",2,0))</f>
        <v/>
      </c>
      <c r="F14">
        <f>COUNTIFS('Ability Tags'!$A$2:$A$153,$A14,'Ability Tags'!$C$2:$C$153,"Engage")</f>
        <v/>
      </c>
      <c r="G14">
        <f>COUNTIFS('Ability Tags'!$A$2:$A$153,$A14,'Ability Tags'!$C$2:$C$153,"Sustain")</f>
        <v/>
      </c>
      <c r="H14">
        <f>CHOOSE(MATCH(MAX(B14:E14),B14:E14,0),"Tank","Pick","Damage","Utility")</f>
        <v/>
      </c>
    </row>
    <row r="15">
      <c r="A15" t="inlineStr">
        <is>
          <t>Infernus</t>
        </is>
      </c>
      <c r="B15">
        <f>COUNTIFS('Ability Tags'!$A$2:$A$153,$A15,'Ability Tags'!$D$2:$D$153,"Tank")+IF(IFERROR(VLOOKUP($A15,Heroes!$A:$C,3,FALSE),"")="Tank",2,IF(IFERROR(VLOOKUP($A15,Heroes!$A:$C,3,FALSE),"")="Hybrid",1,0))</f>
        <v/>
      </c>
      <c r="C15">
        <f>COUNTIFS('Ability Tags'!$A$2:$A$153,$A15,'Ability Tags'!$D$2:$D$153,"Pick")+IF(IFERROR(VLOOKUP($A15,Heroes!$A:$C,3,FALSE),"")="Initiator/Catch",2,0)</f>
        <v/>
      </c>
      <c r="D15">
        <f>COUNTIFS('Ability Tags'!$A$2:$A$153,$A15,'Ability Tags'!$D$2:$D$153,"Damage")+IF(OR(IFERROR(VLOOKUP($A15,Heroes!$A:$C,3,FALSE),"")="Carry",IFERROR(VLOOKUP($A15,Heroes!$A:$C,3,FALSE),"")="Off-Carry"),2,IF(IFERROR(VLOOKUP($A15,Heroes!$A:$C,3,FALSE),"")="Hybrid",1,0))</f>
        <v/>
      </c>
      <c r="E15">
        <f>COUNTIFS('Ability Tags'!$A$2:$A$153,$A15,'Ability Tags'!$D$2:$D$153,"Utility")+IF(OR(IFERROR(VLOOKUP($A15,Heroes!$A:$C,3,FALSE),"")="Support",IFERROR(VLOOKUP($A15,Heroes!$A:$C,3,FALSE),"")="Comfort"),2,IF(IFERROR(VLOOKUP($A15,Heroes!$A:$C,3,FALSE),"")="Hybrid",2,0))</f>
        <v/>
      </c>
      <c r="F15">
        <f>COUNTIFS('Ability Tags'!$A$2:$A$153,$A15,'Ability Tags'!$C$2:$C$153,"Engage")</f>
        <v/>
      </c>
      <c r="G15">
        <f>COUNTIFS('Ability Tags'!$A$2:$A$153,$A15,'Ability Tags'!$C$2:$C$153,"Sustain")</f>
        <v/>
      </c>
      <c r="H15">
        <f>CHOOSE(MATCH(MAX(B15:E15),B15:E15,0),"Tank","Pick","Damage","Utility")</f>
        <v/>
      </c>
    </row>
    <row r="16">
      <c r="A16" t="inlineStr">
        <is>
          <t>Ivy</t>
        </is>
      </c>
      <c r="B16">
        <f>COUNTIFS('Ability Tags'!$A$2:$A$153,$A16,'Ability Tags'!$D$2:$D$153,"Tank")+IF(IFERROR(VLOOKUP($A16,Heroes!$A:$C,3,FALSE),"")="Tank",2,IF(IFERROR(VLOOKUP($A16,Heroes!$A:$C,3,FALSE),"")="Hybrid",1,0))</f>
        <v/>
      </c>
      <c r="C16">
        <f>COUNTIFS('Ability Tags'!$A$2:$A$153,$A16,'Ability Tags'!$D$2:$D$153,"Pick")+IF(IFERROR(VLOOKUP($A16,Heroes!$A:$C,3,FALSE),"")="Initiator/Catch",2,0)</f>
        <v/>
      </c>
      <c r="D16">
        <f>COUNTIFS('Ability Tags'!$A$2:$A$153,$A16,'Ability Tags'!$D$2:$D$153,"Damage")+IF(OR(IFERROR(VLOOKUP($A16,Heroes!$A:$C,3,FALSE),"")="Carry",IFERROR(VLOOKUP($A16,Heroes!$A:$C,3,FALSE),"")="Off-Carry"),2,IF(IFERROR(VLOOKUP($A16,Heroes!$A:$C,3,FALSE),"")="Hybrid",1,0))</f>
        <v/>
      </c>
      <c r="E16">
        <f>COUNTIFS('Ability Tags'!$A$2:$A$153,$A16,'Ability Tags'!$D$2:$D$153,"Utility")+IF(OR(IFERROR(VLOOKUP($A16,Heroes!$A:$C,3,FALSE),"")="Support",IFERROR(VLOOKUP($A16,Heroes!$A:$C,3,FALSE),"")="Comfort"),2,IF(IFERROR(VLOOKUP($A16,Heroes!$A:$C,3,FALSE),"")="Hybrid",2,0))</f>
        <v/>
      </c>
      <c r="F16">
        <f>COUNTIFS('Ability Tags'!$A$2:$A$153,$A16,'Ability Tags'!$C$2:$C$153,"Engage")</f>
        <v/>
      </c>
      <c r="G16">
        <f>COUNTIFS('Ability Tags'!$A$2:$A$153,$A16,'Ability Tags'!$C$2:$C$153,"Sustain")</f>
        <v/>
      </c>
      <c r="H16">
        <f>CHOOSE(MATCH(MAX(B16:E16),B16:E16,0),"Tank","Pick","Damage","Utility")</f>
        <v/>
      </c>
    </row>
    <row r="17">
      <c r="A17" t="inlineStr">
        <is>
          <t>Kelvin</t>
        </is>
      </c>
      <c r="B17">
        <f>COUNTIFS('Ability Tags'!$A$2:$A$153,$A17,'Ability Tags'!$D$2:$D$153,"Tank")+IF(IFERROR(VLOOKUP($A17,Heroes!$A:$C,3,FALSE),"")="Tank",2,IF(IFERROR(VLOOKUP($A17,Heroes!$A:$C,3,FALSE),"")="Hybrid",1,0))</f>
        <v/>
      </c>
      <c r="C17">
        <f>COUNTIFS('Ability Tags'!$A$2:$A$153,$A17,'Ability Tags'!$D$2:$D$153,"Pick")+IF(IFERROR(VLOOKUP($A17,Heroes!$A:$C,3,FALSE),"")="Initiator/Catch",2,0)</f>
        <v/>
      </c>
      <c r="D17">
        <f>COUNTIFS('Ability Tags'!$A$2:$A$153,$A17,'Ability Tags'!$D$2:$D$153,"Damage")+IF(OR(IFERROR(VLOOKUP($A17,Heroes!$A:$C,3,FALSE),"")="Carry",IFERROR(VLOOKUP($A17,Heroes!$A:$C,3,FALSE),"")="Off-Carry"),2,IF(IFERROR(VLOOKUP($A17,Heroes!$A:$C,3,FALSE),"")="Hybrid",1,0))</f>
        <v/>
      </c>
      <c r="E17">
        <f>COUNTIFS('Ability Tags'!$A$2:$A$153,$A17,'Ability Tags'!$D$2:$D$153,"Utility")+IF(OR(IFERROR(VLOOKUP($A17,Heroes!$A:$C,3,FALSE),"")="Support",IFERROR(VLOOKUP($A17,Heroes!$A:$C,3,FALSE),"")="Comfort"),2,IF(IFERROR(VLOOKUP($A17,Heroes!$A:$C,3,FALSE),"")="Hybrid",2,0))</f>
        <v/>
      </c>
      <c r="F17">
        <f>COUNTIFS('Ability Tags'!$A$2:$A$153,$A17,'Ability Tags'!$C$2:$C$153,"Engage")</f>
        <v/>
      </c>
      <c r="G17">
        <f>COUNTIFS('Ability Tags'!$A$2:$A$153,$A17,'Ability Tags'!$C$2:$C$153,"Sustain")</f>
        <v/>
      </c>
      <c r="H17">
        <f>CHOOSE(MATCH(MAX(B17:E17),B17:E17,0),"Tank","Pick","Damage","Utility")</f>
        <v/>
      </c>
    </row>
    <row r="18">
      <c r="A18" t="inlineStr">
        <is>
          <t>Lady Geist</t>
        </is>
      </c>
      <c r="B18">
        <f>COUNTIFS('Ability Tags'!$A$2:$A$153,$A18,'Ability Tags'!$D$2:$D$153,"Tank")+IF(IFERROR(VLOOKUP($A18,Heroes!$A:$C,3,FALSE),"")="Tank",2,IF(IFERROR(VLOOKUP($A18,Heroes!$A:$C,3,FALSE),"")="Hybrid",1,0))</f>
        <v/>
      </c>
      <c r="C18">
        <f>COUNTIFS('Ability Tags'!$A$2:$A$153,$A18,'Ability Tags'!$D$2:$D$153,"Pick")+IF(IFERROR(VLOOKUP($A18,Heroes!$A:$C,3,FALSE),"")="Initiator/Catch",2,0)</f>
        <v/>
      </c>
      <c r="D18">
        <f>COUNTIFS('Ability Tags'!$A$2:$A$153,$A18,'Ability Tags'!$D$2:$D$153,"Damage")+IF(OR(IFERROR(VLOOKUP($A18,Heroes!$A:$C,3,FALSE),"")="Carry",IFERROR(VLOOKUP($A18,Heroes!$A:$C,3,FALSE),"")="Off-Carry"),2,IF(IFERROR(VLOOKUP($A18,Heroes!$A:$C,3,FALSE),"")="Hybrid",1,0))</f>
        <v/>
      </c>
      <c r="E18">
        <f>COUNTIFS('Ability Tags'!$A$2:$A$153,$A18,'Ability Tags'!$D$2:$D$153,"Utility")+IF(OR(IFERROR(VLOOKUP($A18,Heroes!$A:$C,3,FALSE),"")="Support",IFERROR(VLOOKUP($A18,Heroes!$A:$C,3,FALSE),"")="Comfort"),2,IF(IFERROR(VLOOKUP($A18,Heroes!$A:$C,3,FALSE),"")="Hybrid",2,0))</f>
        <v/>
      </c>
      <c r="F18">
        <f>COUNTIFS('Ability Tags'!$A$2:$A$153,$A18,'Ability Tags'!$C$2:$C$153,"Engage")</f>
        <v/>
      </c>
      <c r="G18">
        <f>COUNTIFS('Ability Tags'!$A$2:$A$153,$A18,'Ability Tags'!$C$2:$C$153,"Sustain")</f>
        <v/>
      </c>
      <c r="H18">
        <f>CHOOSE(MATCH(MAX(B18:E18),B18:E18,0),"Tank","Pick","Damage","Utility")</f>
        <v/>
      </c>
    </row>
    <row r="19">
      <c r="A19" t="inlineStr">
        <is>
          <t>Lash</t>
        </is>
      </c>
      <c r="B19">
        <f>COUNTIFS('Ability Tags'!$A$2:$A$153,$A19,'Ability Tags'!$D$2:$D$153,"Tank")+IF(IFERROR(VLOOKUP($A19,Heroes!$A:$C,3,FALSE),"")="Tank",2,IF(IFERROR(VLOOKUP($A19,Heroes!$A:$C,3,FALSE),"")="Hybrid",1,0))</f>
        <v/>
      </c>
      <c r="C19">
        <f>COUNTIFS('Ability Tags'!$A$2:$A$153,$A19,'Ability Tags'!$D$2:$D$153,"Pick")+IF(IFERROR(VLOOKUP($A19,Heroes!$A:$C,3,FALSE),"")="Initiator/Catch",2,0)</f>
        <v/>
      </c>
      <c r="D19">
        <f>COUNTIFS('Ability Tags'!$A$2:$A$153,$A19,'Ability Tags'!$D$2:$D$153,"Damage")+IF(OR(IFERROR(VLOOKUP($A19,Heroes!$A:$C,3,FALSE),"")="Carry",IFERROR(VLOOKUP($A19,Heroes!$A:$C,3,FALSE),"")="Off-Carry"),2,IF(IFERROR(VLOOKUP($A19,Heroes!$A:$C,3,FALSE),"")="Hybrid",1,0))</f>
        <v/>
      </c>
      <c r="E19">
        <f>COUNTIFS('Ability Tags'!$A$2:$A$153,$A19,'Ability Tags'!$D$2:$D$153,"Utility")+IF(OR(IFERROR(VLOOKUP($A19,Heroes!$A:$C,3,FALSE),"")="Support",IFERROR(VLOOKUP($A19,Heroes!$A:$C,3,FALSE),"")="Comfort"),2,IF(IFERROR(VLOOKUP($A19,Heroes!$A:$C,3,FALSE),"")="Hybrid",2,0))</f>
        <v/>
      </c>
      <c r="F19">
        <f>COUNTIFS('Ability Tags'!$A$2:$A$153,$A19,'Ability Tags'!$C$2:$C$153,"Engage")</f>
        <v/>
      </c>
      <c r="G19">
        <f>COUNTIFS('Ability Tags'!$A$2:$A$153,$A19,'Ability Tags'!$C$2:$C$153,"Sustain")</f>
        <v/>
      </c>
      <c r="H19">
        <f>CHOOSE(MATCH(MAX(B19:E19),B19:E19,0),"Tank","Pick","Damage","Utility")</f>
        <v/>
      </c>
    </row>
    <row r="20">
      <c r="A20" t="inlineStr">
        <is>
          <t>McGinnis</t>
        </is>
      </c>
      <c r="B20">
        <f>COUNTIFS('Ability Tags'!$A$2:$A$153,$A20,'Ability Tags'!$D$2:$D$153,"Tank")+IF(IFERROR(VLOOKUP($A20,Heroes!$A:$C,3,FALSE),"")="Tank",2,IF(IFERROR(VLOOKUP($A20,Heroes!$A:$C,3,FALSE),"")="Hybrid",1,0))</f>
        <v/>
      </c>
      <c r="C20">
        <f>COUNTIFS('Ability Tags'!$A$2:$A$153,$A20,'Ability Tags'!$D$2:$D$153,"Pick")+IF(IFERROR(VLOOKUP($A20,Heroes!$A:$C,3,FALSE),"")="Initiator/Catch",2,0)</f>
        <v/>
      </c>
      <c r="D20">
        <f>COUNTIFS('Ability Tags'!$A$2:$A$153,$A20,'Ability Tags'!$D$2:$D$153,"Damage")+IF(OR(IFERROR(VLOOKUP($A20,Heroes!$A:$C,3,FALSE),"")="Carry",IFERROR(VLOOKUP($A20,Heroes!$A:$C,3,FALSE),"")="Off-Carry"),2,IF(IFERROR(VLOOKUP($A20,Heroes!$A:$C,3,FALSE),"")="Hybrid",1,0))</f>
        <v/>
      </c>
      <c r="E20">
        <f>COUNTIFS('Ability Tags'!$A$2:$A$153,$A20,'Ability Tags'!$D$2:$D$153,"Utility")+IF(OR(IFERROR(VLOOKUP($A20,Heroes!$A:$C,3,FALSE),"")="Support",IFERROR(VLOOKUP($A20,Heroes!$A:$C,3,FALSE),"")="Comfort"),2,IF(IFERROR(VLOOKUP($A20,Heroes!$A:$C,3,FALSE),"")="Hybrid",2,0))</f>
        <v/>
      </c>
      <c r="F20">
        <f>COUNTIFS('Ability Tags'!$A$2:$A$153,$A20,'Ability Tags'!$C$2:$C$153,"Engage")</f>
        <v/>
      </c>
      <c r="G20">
        <f>COUNTIFS('Ability Tags'!$A$2:$A$153,$A20,'Ability Tags'!$C$2:$C$153,"Sustain")</f>
        <v/>
      </c>
      <c r="H20">
        <f>CHOOSE(MATCH(MAX(B20:E20),B20:E20,0),"Tank","Pick","Damage","Utility")</f>
        <v/>
      </c>
    </row>
    <row r="21">
      <c r="A21" t="inlineStr">
        <is>
          <t>Mina</t>
        </is>
      </c>
      <c r="B21">
        <f>COUNTIFS('Ability Tags'!$A$2:$A$153,$A21,'Ability Tags'!$D$2:$D$153,"Tank")+IF(IFERROR(VLOOKUP($A21,Heroes!$A:$C,3,FALSE),"")="Tank",2,IF(IFERROR(VLOOKUP($A21,Heroes!$A:$C,3,FALSE),"")="Hybrid",1,0))</f>
        <v/>
      </c>
      <c r="C21">
        <f>COUNTIFS('Ability Tags'!$A$2:$A$153,$A21,'Ability Tags'!$D$2:$D$153,"Pick")+IF(IFERROR(VLOOKUP($A21,Heroes!$A:$C,3,FALSE),"")="Initiator/Catch",2,0)</f>
        <v/>
      </c>
      <c r="D21">
        <f>COUNTIFS('Ability Tags'!$A$2:$A$153,$A21,'Ability Tags'!$D$2:$D$153,"Damage")+IF(OR(IFERROR(VLOOKUP($A21,Heroes!$A:$C,3,FALSE),"")="Carry",IFERROR(VLOOKUP($A21,Heroes!$A:$C,3,FALSE),"")="Off-Carry"),2,IF(IFERROR(VLOOKUP($A21,Heroes!$A:$C,3,FALSE),"")="Hybrid",1,0))</f>
        <v/>
      </c>
      <c r="E21">
        <f>COUNTIFS('Ability Tags'!$A$2:$A$153,$A21,'Ability Tags'!$D$2:$D$153,"Utility")+IF(OR(IFERROR(VLOOKUP($A21,Heroes!$A:$C,3,FALSE),"")="Support",IFERROR(VLOOKUP($A21,Heroes!$A:$C,3,FALSE),"")="Comfort"),2,IF(IFERROR(VLOOKUP($A21,Heroes!$A:$C,3,FALSE),"")="Hybrid",2,0))</f>
        <v/>
      </c>
      <c r="F21">
        <f>COUNTIFS('Ability Tags'!$A$2:$A$153,$A21,'Ability Tags'!$C$2:$C$153,"Engage")</f>
        <v/>
      </c>
      <c r="G21">
        <f>COUNTIFS('Ability Tags'!$A$2:$A$153,$A21,'Ability Tags'!$C$2:$C$153,"Sustain")</f>
        <v/>
      </c>
      <c r="H21">
        <f>CHOOSE(MATCH(MAX(B21:E21),B21:E21,0),"Tank","Pick","Damage","Utility")</f>
        <v/>
      </c>
    </row>
    <row r="22">
      <c r="A22" t="inlineStr">
        <is>
          <t>Mirage</t>
        </is>
      </c>
      <c r="B22">
        <f>COUNTIFS('Ability Tags'!$A$2:$A$153,$A22,'Ability Tags'!$D$2:$D$153,"Tank")+IF(IFERROR(VLOOKUP($A22,Heroes!$A:$C,3,FALSE),"")="Tank",2,IF(IFERROR(VLOOKUP($A22,Heroes!$A:$C,3,FALSE),"")="Hybrid",1,0))</f>
        <v/>
      </c>
      <c r="C22">
        <f>COUNTIFS('Ability Tags'!$A$2:$A$153,$A22,'Ability Tags'!$D$2:$D$153,"Pick")+IF(IFERROR(VLOOKUP($A22,Heroes!$A:$C,3,FALSE),"")="Initiator/Catch",2,0)</f>
        <v/>
      </c>
      <c r="D22">
        <f>COUNTIFS('Ability Tags'!$A$2:$A$153,$A22,'Ability Tags'!$D$2:$D$153,"Damage")+IF(OR(IFERROR(VLOOKUP($A22,Heroes!$A:$C,3,FALSE),"")="Carry",IFERROR(VLOOKUP($A22,Heroes!$A:$C,3,FALSE),"")="Off-Carry"),2,IF(IFERROR(VLOOKUP($A22,Heroes!$A:$C,3,FALSE),"")="Hybrid",1,0))</f>
        <v/>
      </c>
      <c r="E22">
        <f>COUNTIFS('Ability Tags'!$A$2:$A$153,$A22,'Ability Tags'!$D$2:$D$153,"Utility")+IF(OR(IFERROR(VLOOKUP($A22,Heroes!$A:$C,3,FALSE),"")="Support",IFERROR(VLOOKUP($A22,Heroes!$A:$C,3,FALSE),"")="Comfort"),2,IF(IFERROR(VLOOKUP($A22,Heroes!$A:$C,3,FALSE),"")="Hybrid",2,0))</f>
        <v/>
      </c>
      <c r="F22">
        <f>COUNTIFS('Ability Tags'!$A$2:$A$153,$A22,'Ability Tags'!$C$2:$C$153,"Engage")</f>
        <v/>
      </c>
      <c r="G22">
        <f>COUNTIFS('Ability Tags'!$A$2:$A$153,$A22,'Ability Tags'!$C$2:$C$153,"Sustain")</f>
        <v/>
      </c>
      <c r="H22">
        <f>CHOOSE(MATCH(MAX(B22:E22),B22:E22,0),"Tank","Pick","Damage","Utility")</f>
        <v/>
      </c>
    </row>
    <row r="23">
      <c r="A23" t="inlineStr">
        <is>
          <t>Mo &amp; Krill</t>
        </is>
      </c>
      <c r="B23">
        <f>COUNTIFS('Ability Tags'!$A$2:$A$153,$A23,'Ability Tags'!$D$2:$D$153,"Tank")+IF(IFERROR(VLOOKUP($A23,Heroes!$A:$C,3,FALSE),"")="Tank",2,IF(IFERROR(VLOOKUP($A23,Heroes!$A:$C,3,FALSE),"")="Hybrid",1,0))</f>
        <v/>
      </c>
      <c r="C23">
        <f>COUNTIFS('Ability Tags'!$A$2:$A$153,$A23,'Ability Tags'!$D$2:$D$153,"Pick")+IF(IFERROR(VLOOKUP($A23,Heroes!$A:$C,3,FALSE),"")="Initiator/Catch",2,0)</f>
        <v/>
      </c>
      <c r="D23">
        <f>COUNTIFS('Ability Tags'!$A$2:$A$153,$A23,'Ability Tags'!$D$2:$D$153,"Damage")+IF(OR(IFERROR(VLOOKUP($A23,Heroes!$A:$C,3,FALSE),"")="Carry",IFERROR(VLOOKUP($A23,Heroes!$A:$C,3,FALSE),"")="Off-Carry"),2,IF(IFERROR(VLOOKUP($A23,Heroes!$A:$C,3,FALSE),"")="Hybrid",1,0))</f>
        <v/>
      </c>
      <c r="E23">
        <f>COUNTIFS('Ability Tags'!$A$2:$A$153,$A23,'Ability Tags'!$D$2:$D$153,"Utility")+IF(OR(IFERROR(VLOOKUP($A23,Heroes!$A:$C,3,FALSE),"")="Support",IFERROR(VLOOKUP($A23,Heroes!$A:$C,3,FALSE),"")="Comfort"),2,IF(IFERROR(VLOOKUP($A23,Heroes!$A:$C,3,FALSE),"")="Hybrid",2,0))</f>
        <v/>
      </c>
      <c r="F23">
        <f>COUNTIFS('Ability Tags'!$A$2:$A$153,$A23,'Ability Tags'!$C$2:$C$153,"Engage")</f>
        <v/>
      </c>
      <c r="G23">
        <f>COUNTIFS('Ability Tags'!$A$2:$A$153,$A23,'Ability Tags'!$C$2:$C$153,"Sustain")</f>
        <v/>
      </c>
      <c r="H23">
        <f>CHOOSE(MATCH(MAX(B23:E23),B23:E23,0),"Tank","Pick","Damage","Utility")</f>
        <v/>
      </c>
    </row>
    <row r="24">
      <c r="A24" t="inlineStr">
        <is>
          <t>Paige</t>
        </is>
      </c>
      <c r="B24">
        <f>COUNTIFS('Ability Tags'!$A$2:$A$153,$A24,'Ability Tags'!$D$2:$D$153,"Tank")+IF(IFERROR(VLOOKUP($A24,Heroes!$A:$C,3,FALSE),"")="Tank",2,IF(IFERROR(VLOOKUP($A24,Heroes!$A:$C,3,FALSE),"")="Hybrid",1,0))</f>
        <v/>
      </c>
      <c r="C24">
        <f>COUNTIFS('Ability Tags'!$A$2:$A$153,$A24,'Ability Tags'!$D$2:$D$153,"Pick")+IF(IFERROR(VLOOKUP($A24,Heroes!$A:$C,3,FALSE),"")="Initiator/Catch",2,0)</f>
        <v/>
      </c>
      <c r="D24">
        <f>COUNTIFS('Ability Tags'!$A$2:$A$153,$A24,'Ability Tags'!$D$2:$D$153,"Damage")+IF(OR(IFERROR(VLOOKUP($A24,Heroes!$A:$C,3,FALSE),"")="Carry",IFERROR(VLOOKUP($A24,Heroes!$A:$C,3,FALSE),"")="Off-Carry"),2,IF(IFERROR(VLOOKUP($A24,Heroes!$A:$C,3,FALSE),"")="Hybrid",1,0))</f>
        <v/>
      </c>
      <c r="E24">
        <f>COUNTIFS('Ability Tags'!$A$2:$A$153,$A24,'Ability Tags'!$D$2:$D$153,"Utility")+IF(OR(IFERROR(VLOOKUP($A24,Heroes!$A:$C,3,FALSE),"")="Support",IFERROR(VLOOKUP($A24,Heroes!$A:$C,3,FALSE),"")="Comfort"),2,IF(IFERROR(VLOOKUP($A24,Heroes!$A:$C,3,FALSE),"")="Hybrid",2,0))</f>
        <v/>
      </c>
      <c r="F24">
        <f>COUNTIFS('Ability Tags'!$A$2:$A$153,$A24,'Ability Tags'!$C$2:$C$153,"Engage")</f>
        <v/>
      </c>
      <c r="G24">
        <f>COUNTIFS('Ability Tags'!$A$2:$A$153,$A24,'Ability Tags'!$C$2:$C$153,"Sustain")</f>
        <v/>
      </c>
      <c r="H24">
        <f>CHOOSE(MATCH(MAX(B24:E24),B24:E24,0),"Tank","Pick","Damage","Utility")</f>
        <v/>
      </c>
    </row>
    <row r="25">
      <c r="A25" t="inlineStr">
        <is>
          <t>Paradox</t>
        </is>
      </c>
      <c r="B25">
        <f>COUNTIFS('Ability Tags'!$A$2:$A$153,$A25,'Ability Tags'!$D$2:$D$153,"Tank")+IF(IFERROR(VLOOKUP($A25,Heroes!$A:$C,3,FALSE),"")="Tank",2,IF(IFERROR(VLOOKUP($A25,Heroes!$A:$C,3,FALSE),"")="Hybrid",1,0))</f>
        <v/>
      </c>
      <c r="C25">
        <f>COUNTIFS('Ability Tags'!$A$2:$A$153,$A25,'Ability Tags'!$D$2:$D$153,"Pick")+IF(IFERROR(VLOOKUP($A25,Heroes!$A:$C,3,FALSE),"")="Initiator/Catch",2,0)</f>
        <v/>
      </c>
      <c r="D25">
        <f>COUNTIFS('Ability Tags'!$A$2:$A$153,$A25,'Ability Tags'!$D$2:$D$153,"Damage")+IF(OR(IFERROR(VLOOKUP($A25,Heroes!$A:$C,3,FALSE),"")="Carry",IFERROR(VLOOKUP($A25,Heroes!$A:$C,3,FALSE),"")="Off-Carry"),2,IF(IFERROR(VLOOKUP($A25,Heroes!$A:$C,3,FALSE),"")="Hybrid",1,0))</f>
        <v/>
      </c>
      <c r="E25">
        <f>COUNTIFS('Ability Tags'!$A$2:$A$153,$A25,'Ability Tags'!$D$2:$D$153,"Utility")+IF(OR(IFERROR(VLOOKUP($A25,Heroes!$A:$C,3,FALSE),"")="Support",IFERROR(VLOOKUP($A25,Heroes!$A:$C,3,FALSE),"")="Comfort"),2,IF(IFERROR(VLOOKUP($A25,Heroes!$A:$C,3,FALSE),"")="Hybrid",2,0))</f>
        <v/>
      </c>
      <c r="F25">
        <f>COUNTIFS('Ability Tags'!$A$2:$A$153,$A25,'Ability Tags'!$C$2:$C$153,"Engage")</f>
        <v/>
      </c>
      <c r="G25">
        <f>COUNTIFS('Ability Tags'!$A$2:$A$153,$A25,'Ability Tags'!$C$2:$C$153,"Sustain")</f>
        <v/>
      </c>
      <c r="H25">
        <f>CHOOSE(MATCH(MAX(B25:E25),B25:E25,0),"Tank","Pick","Damage","Utility")</f>
        <v/>
      </c>
    </row>
    <row r="26">
      <c r="A26" t="inlineStr">
        <is>
          <t>Pocket</t>
        </is>
      </c>
      <c r="B26">
        <f>COUNTIFS('Ability Tags'!$A$2:$A$153,$A26,'Ability Tags'!$D$2:$D$153,"Tank")+IF(IFERROR(VLOOKUP($A26,Heroes!$A:$C,3,FALSE),"")="Tank",2,IF(IFERROR(VLOOKUP($A26,Heroes!$A:$C,3,FALSE),"")="Hybrid",1,0))</f>
        <v/>
      </c>
      <c r="C26">
        <f>COUNTIFS('Ability Tags'!$A$2:$A$153,$A26,'Ability Tags'!$D$2:$D$153,"Pick")+IF(IFERROR(VLOOKUP($A26,Heroes!$A:$C,3,FALSE),"")="Initiator/Catch",2,0)</f>
        <v/>
      </c>
      <c r="D26">
        <f>COUNTIFS('Ability Tags'!$A$2:$A$153,$A26,'Ability Tags'!$D$2:$D$153,"Damage")+IF(OR(IFERROR(VLOOKUP($A26,Heroes!$A:$C,3,FALSE),"")="Carry",IFERROR(VLOOKUP($A26,Heroes!$A:$C,3,FALSE),"")="Off-Carry"),2,IF(IFERROR(VLOOKUP($A26,Heroes!$A:$C,3,FALSE),"")="Hybrid",1,0))</f>
        <v/>
      </c>
      <c r="E26">
        <f>COUNTIFS('Ability Tags'!$A$2:$A$153,$A26,'Ability Tags'!$D$2:$D$153,"Utility")+IF(OR(IFERROR(VLOOKUP($A26,Heroes!$A:$C,3,FALSE),"")="Support",IFERROR(VLOOKUP($A26,Heroes!$A:$C,3,FALSE),"")="Comfort"),2,IF(IFERROR(VLOOKUP($A26,Heroes!$A:$C,3,FALSE),"")="Hybrid",2,0))</f>
        <v/>
      </c>
      <c r="F26">
        <f>COUNTIFS('Ability Tags'!$A$2:$A$153,$A26,'Ability Tags'!$C$2:$C$153,"Engage")</f>
        <v/>
      </c>
      <c r="G26">
        <f>COUNTIFS('Ability Tags'!$A$2:$A$153,$A26,'Ability Tags'!$C$2:$C$153,"Sustain")</f>
        <v/>
      </c>
      <c r="H26">
        <f>CHOOSE(MATCH(MAX(B26:E26),B26:E26,0),"Tank","Pick","Damage","Utility")</f>
        <v/>
      </c>
    </row>
    <row r="27">
      <c r="A27" t="inlineStr">
        <is>
          <t>Rem</t>
        </is>
      </c>
      <c r="B27">
        <f>COUNTIFS('Ability Tags'!$A$2:$A$153,$A27,'Ability Tags'!$D$2:$D$153,"Tank")+IF(IFERROR(VLOOKUP($A27,Heroes!$A:$C,3,FALSE),"")="Tank",2,IF(IFERROR(VLOOKUP($A27,Heroes!$A:$C,3,FALSE),"")="Hybrid",1,0))</f>
        <v/>
      </c>
      <c r="C27">
        <f>COUNTIFS('Ability Tags'!$A$2:$A$153,$A27,'Ability Tags'!$D$2:$D$153,"Pick")+IF(IFERROR(VLOOKUP($A27,Heroes!$A:$C,3,FALSE),"")="Initiator/Catch",2,0)</f>
        <v/>
      </c>
      <c r="D27">
        <f>COUNTIFS('Ability Tags'!$A$2:$A$153,$A27,'Ability Tags'!$D$2:$D$153,"Damage")+IF(OR(IFERROR(VLOOKUP($A27,Heroes!$A:$C,3,FALSE),"")="Carry",IFERROR(VLOOKUP($A27,Heroes!$A:$C,3,FALSE),"")="Off-Carry"),2,IF(IFERROR(VLOOKUP($A27,Heroes!$A:$C,3,FALSE),"")="Hybrid",1,0))</f>
        <v/>
      </c>
      <c r="E27">
        <f>COUNTIFS('Ability Tags'!$A$2:$A$153,$A27,'Ability Tags'!$D$2:$D$153,"Utility")+IF(OR(IFERROR(VLOOKUP($A27,Heroes!$A:$C,3,FALSE),"")="Support",IFERROR(VLOOKUP($A27,Heroes!$A:$C,3,FALSE),"")="Comfort"),2,IF(IFERROR(VLOOKUP($A27,Heroes!$A:$C,3,FALSE),"")="Hybrid",2,0))</f>
        <v/>
      </c>
      <c r="F27">
        <f>COUNTIFS('Ability Tags'!$A$2:$A$153,$A27,'Ability Tags'!$C$2:$C$153,"Engage")</f>
        <v/>
      </c>
      <c r="G27">
        <f>COUNTIFS('Ability Tags'!$A$2:$A$153,$A27,'Ability Tags'!$C$2:$C$153,"Sustain")</f>
        <v/>
      </c>
      <c r="H27">
        <f>CHOOSE(MATCH(MAX(B27:E27),B27:E27,0),"Tank","Pick","Damage","Utility")</f>
        <v/>
      </c>
    </row>
    <row r="28">
      <c r="A28" t="inlineStr">
        <is>
          <t>Seven</t>
        </is>
      </c>
      <c r="B28">
        <f>COUNTIFS('Ability Tags'!$A$2:$A$153,$A28,'Ability Tags'!$D$2:$D$153,"Tank")+IF(IFERROR(VLOOKUP($A28,Heroes!$A:$C,3,FALSE),"")="Tank",2,IF(IFERROR(VLOOKUP($A28,Heroes!$A:$C,3,FALSE),"")="Hybrid",1,0))</f>
        <v/>
      </c>
      <c r="C28">
        <f>COUNTIFS('Ability Tags'!$A$2:$A$153,$A28,'Ability Tags'!$D$2:$D$153,"Pick")+IF(IFERROR(VLOOKUP($A28,Heroes!$A:$C,3,FALSE),"")="Initiator/Catch",2,0)</f>
        <v/>
      </c>
      <c r="D28">
        <f>COUNTIFS('Ability Tags'!$A$2:$A$153,$A28,'Ability Tags'!$D$2:$D$153,"Damage")+IF(OR(IFERROR(VLOOKUP($A28,Heroes!$A:$C,3,FALSE),"")="Carry",IFERROR(VLOOKUP($A28,Heroes!$A:$C,3,FALSE),"")="Off-Carry"),2,IF(IFERROR(VLOOKUP($A28,Heroes!$A:$C,3,FALSE),"")="Hybrid",1,0))</f>
        <v/>
      </c>
      <c r="E28">
        <f>COUNTIFS('Ability Tags'!$A$2:$A$153,$A28,'Ability Tags'!$D$2:$D$153,"Utility")+IF(OR(IFERROR(VLOOKUP($A28,Heroes!$A:$C,3,FALSE),"")="Support",IFERROR(VLOOKUP($A28,Heroes!$A:$C,3,FALSE),"")="Comfort"),2,IF(IFERROR(VLOOKUP($A28,Heroes!$A:$C,3,FALSE),"")="Hybrid",2,0))</f>
        <v/>
      </c>
      <c r="F28">
        <f>COUNTIFS('Ability Tags'!$A$2:$A$153,$A28,'Ability Tags'!$C$2:$C$153,"Engage")</f>
        <v/>
      </c>
      <c r="G28">
        <f>COUNTIFS('Ability Tags'!$A$2:$A$153,$A28,'Ability Tags'!$C$2:$C$153,"Sustain")</f>
        <v/>
      </c>
      <c r="H28">
        <f>CHOOSE(MATCH(MAX(B28:E28),B28:E28,0),"Tank","Pick","Damage","Utility")</f>
        <v/>
      </c>
    </row>
    <row r="29">
      <c r="A29" t="inlineStr">
        <is>
          <t>Shiv</t>
        </is>
      </c>
      <c r="B29">
        <f>COUNTIFS('Ability Tags'!$A$2:$A$153,$A29,'Ability Tags'!$D$2:$D$153,"Tank")+IF(IFERROR(VLOOKUP($A29,Heroes!$A:$C,3,FALSE),"")="Tank",2,IF(IFERROR(VLOOKUP($A29,Heroes!$A:$C,3,FALSE),"")="Hybrid",1,0))</f>
        <v/>
      </c>
      <c r="C29">
        <f>COUNTIFS('Ability Tags'!$A$2:$A$153,$A29,'Ability Tags'!$D$2:$D$153,"Pick")+IF(IFERROR(VLOOKUP($A29,Heroes!$A:$C,3,FALSE),"")="Initiator/Catch",2,0)</f>
        <v/>
      </c>
      <c r="D29">
        <f>COUNTIFS('Ability Tags'!$A$2:$A$153,$A29,'Ability Tags'!$D$2:$D$153,"Damage")+IF(OR(IFERROR(VLOOKUP($A29,Heroes!$A:$C,3,FALSE),"")="Carry",IFERROR(VLOOKUP($A29,Heroes!$A:$C,3,FALSE),"")="Off-Carry"),2,IF(IFERROR(VLOOKUP($A29,Heroes!$A:$C,3,FALSE),"")="Hybrid",1,0))</f>
        <v/>
      </c>
      <c r="E29">
        <f>COUNTIFS('Ability Tags'!$A$2:$A$153,$A29,'Ability Tags'!$D$2:$D$153,"Utility")+IF(OR(IFERROR(VLOOKUP($A29,Heroes!$A:$C,3,FALSE),"")="Support",IFERROR(VLOOKUP($A29,Heroes!$A:$C,3,FALSE),"")="Comfort"),2,IF(IFERROR(VLOOKUP($A29,Heroes!$A:$C,3,FALSE),"")="Hybrid",2,0))</f>
        <v/>
      </c>
      <c r="F29">
        <f>COUNTIFS('Ability Tags'!$A$2:$A$153,$A29,'Ability Tags'!$C$2:$C$153,"Engage")</f>
        <v/>
      </c>
      <c r="G29">
        <f>COUNTIFS('Ability Tags'!$A$2:$A$153,$A29,'Ability Tags'!$C$2:$C$153,"Sustain")</f>
        <v/>
      </c>
      <c r="H29">
        <f>CHOOSE(MATCH(MAX(B29:E29),B29:E29,0),"Tank","Pick","Damage","Utility")</f>
        <v/>
      </c>
    </row>
    <row r="30">
      <c r="A30" t="inlineStr">
        <is>
          <t>Silver</t>
        </is>
      </c>
      <c r="B30">
        <f>COUNTIFS('Ability Tags'!$A$2:$A$153,$A30,'Ability Tags'!$D$2:$D$153,"Tank")+IF(IFERROR(VLOOKUP($A30,Heroes!$A:$C,3,FALSE),"")="Tank",2,IF(IFERROR(VLOOKUP($A30,Heroes!$A:$C,3,FALSE),"")="Hybrid",1,0))</f>
        <v/>
      </c>
      <c r="C30">
        <f>COUNTIFS('Ability Tags'!$A$2:$A$153,$A30,'Ability Tags'!$D$2:$D$153,"Pick")+IF(IFERROR(VLOOKUP($A30,Heroes!$A:$C,3,FALSE),"")="Initiator/Catch",2,0)</f>
        <v/>
      </c>
      <c r="D30">
        <f>COUNTIFS('Ability Tags'!$A$2:$A$153,$A30,'Ability Tags'!$D$2:$D$153,"Damage")+IF(OR(IFERROR(VLOOKUP($A30,Heroes!$A:$C,3,FALSE),"")="Carry",IFERROR(VLOOKUP($A30,Heroes!$A:$C,3,FALSE),"")="Off-Carry"),2,IF(IFERROR(VLOOKUP($A30,Heroes!$A:$C,3,FALSE),"")="Hybrid",1,0))</f>
        <v/>
      </c>
      <c r="E30">
        <f>COUNTIFS('Ability Tags'!$A$2:$A$153,$A30,'Ability Tags'!$D$2:$D$153,"Utility")+IF(OR(IFERROR(VLOOKUP($A30,Heroes!$A:$C,3,FALSE),"")="Support",IFERROR(VLOOKUP($A30,Heroes!$A:$C,3,FALSE),"")="Comfort"),2,IF(IFERROR(VLOOKUP($A30,Heroes!$A:$C,3,FALSE),"")="Hybrid",2,0))</f>
        <v/>
      </c>
      <c r="F30">
        <f>COUNTIFS('Ability Tags'!$A$2:$A$153,$A30,'Ability Tags'!$C$2:$C$153,"Engage")</f>
        <v/>
      </c>
      <c r="G30">
        <f>COUNTIFS('Ability Tags'!$A$2:$A$153,$A30,'Ability Tags'!$C$2:$C$153,"Sustain")</f>
        <v/>
      </c>
      <c r="H30">
        <f>CHOOSE(MATCH(MAX(B30:E30),B30:E30,0),"Tank","Pick","Damage","Utility")</f>
        <v/>
      </c>
    </row>
    <row r="31">
      <c r="A31" t="inlineStr">
        <is>
          <t>Sinclair</t>
        </is>
      </c>
      <c r="B31">
        <f>COUNTIFS('Ability Tags'!$A$2:$A$153,$A31,'Ability Tags'!$D$2:$D$153,"Tank")+IF(IFERROR(VLOOKUP($A31,Heroes!$A:$C,3,FALSE),"")="Tank",2,IF(IFERROR(VLOOKUP($A31,Heroes!$A:$C,3,FALSE),"")="Hybrid",1,0))</f>
        <v/>
      </c>
      <c r="C31">
        <f>COUNTIFS('Ability Tags'!$A$2:$A$153,$A31,'Ability Tags'!$D$2:$D$153,"Pick")+IF(IFERROR(VLOOKUP($A31,Heroes!$A:$C,3,FALSE),"")="Initiator/Catch",2,0)</f>
        <v/>
      </c>
      <c r="D31">
        <f>COUNTIFS('Ability Tags'!$A$2:$A$153,$A31,'Ability Tags'!$D$2:$D$153,"Damage")+IF(OR(IFERROR(VLOOKUP($A31,Heroes!$A:$C,3,FALSE),"")="Carry",IFERROR(VLOOKUP($A31,Heroes!$A:$C,3,FALSE),"")="Off-Carry"),2,IF(IFERROR(VLOOKUP($A31,Heroes!$A:$C,3,FALSE),"")="Hybrid",1,0))</f>
        <v/>
      </c>
      <c r="E31">
        <f>COUNTIFS('Ability Tags'!$A$2:$A$153,$A31,'Ability Tags'!$D$2:$D$153,"Utility")+IF(OR(IFERROR(VLOOKUP($A31,Heroes!$A:$C,3,FALSE),"")="Support",IFERROR(VLOOKUP($A31,Heroes!$A:$C,3,FALSE),"")="Comfort"),2,IF(IFERROR(VLOOKUP($A31,Heroes!$A:$C,3,FALSE),"")="Hybrid",2,0))</f>
        <v/>
      </c>
      <c r="F31">
        <f>COUNTIFS('Ability Tags'!$A$2:$A$153,$A31,'Ability Tags'!$C$2:$C$153,"Engage")</f>
        <v/>
      </c>
      <c r="G31">
        <f>COUNTIFS('Ability Tags'!$A$2:$A$153,$A31,'Ability Tags'!$C$2:$C$153,"Sustain")</f>
        <v/>
      </c>
      <c r="H31">
        <f>CHOOSE(MATCH(MAX(B31:E31),B31:E31,0),"Tank","Pick","Damage","Utility")</f>
        <v/>
      </c>
    </row>
    <row r="32">
      <c r="A32" t="inlineStr">
        <is>
          <t>Venator</t>
        </is>
      </c>
      <c r="B32">
        <f>COUNTIFS('Ability Tags'!$A$2:$A$153,$A32,'Ability Tags'!$D$2:$D$153,"Tank")+IF(IFERROR(VLOOKUP($A32,Heroes!$A:$C,3,FALSE),"")="Tank",2,IF(IFERROR(VLOOKUP($A32,Heroes!$A:$C,3,FALSE),"")="Hybrid",1,0))</f>
        <v/>
      </c>
      <c r="C32">
        <f>COUNTIFS('Ability Tags'!$A$2:$A$153,$A32,'Ability Tags'!$D$2:$D$153,"Pick")+IF(IFERROR(VLOOKUP($A32,Heroes!$A:$C,3,FALSE),"")="Initiator/Catch",2,0)</f>
        <v/>
      </c>
      <c r="D32">
        <f>COUNTIFS('Ability Tags'!$A$2:$A$153,$A32,'Ability Tags'!$D$2:$D$153,"Damage")+IF(OR(IFERROR(VLOOKUP($A32,Heroes!$A:$C,3,FALSE),"")="Carry",IFERROR(VLOOKUP($A32,Heroes!$A:$C,3,FALSE),"")="Off-Carry"),2,IF(IFERROR(VLOOKUP($A32,Heroes!$A:$C,3,FALSE),"")="Hybrid",1,0))</f>
        <v/>
      </c>
      <c r="E32">
        <f>COUNTIFS('Ability Tags'!$A$2:$A$153,$A32,'Ability Tags'!$D$2:$D$153,"Utility")+IF(OR(IFERROR(VLOOKUP($A32,Heroes!$A:$C,3,FALSE),"")="Support",IFERROR(VLOOKUP($A32,Heroes!$A:$C,3,FALSE),"")="Comfort"),2,IF(IFERROR(VLOOKUP($A32,Heroes!$A:$C,3,FALSE),"")="Hybrid",2,0))</f>
        <v/>
      </c>
      <c r="F32">
        <f>COUNTIFS('Ability Tags'!$A$2:$A$153,$A32,'Ability Tags'!$C$2:$C$153,"Engage")</f>
        <v/>
      </c>
      <c r="G32">
        <f>COUNTIFS('Ability Tags'!$A$2:$A$153,$A32,'Ability Tags'!$C$2:$C$153,"Sustain")</f>
        <v/>
      </c>
      <c r="H32">
        <f>CHOOSE(MATCH(MAX(B32:E32),B32:E32,0),"Tank","Pick","Damage","Utility")</f>
        <v/>
      </c>
    </row>
    <row r="33">
      <c r="A33" t="inlineStr">
        <is>
          <t>Victor</t>
        </is>
      </c>
      <c r="B33">
        <f>COUNTIFS('Ability Tags'!$A$2:$A$153,$A33,'Ability Tags'!$D$2:$D$153,"Tank")+IF(IFERROR(VLOOKUP($A33,Heroes!$A:$C,3,FALSE),"")="Tank",2,IF(IFERROR(VLOOKUP($A33,Heroes!$A:$C,3,FALSE),"")="Hybrid",1,0))</f>
        <v/>
      </c>
      <c r="C33">
        <f>COUNTIFS('Ability Tags'!$A$2:$A$153,$A33,'Ability Tags'!$D$2:$D$153,"Pick")+IF(IFERROR(VLOOKUP($A33,Heroes!$A:$C,3,FALSE),"")="Initiator/Catch",2,0)</f>
        <v/>
      </c>
      <c r="D33">
        <f>COUNTIFS('Ability Tags'!$A$2:$A$153,$A33,'Ability Tags'!$D$2:$D$153,"Damage")+IF(OR(IFERROR(VLOOKUP($A33,Heroes!$A:$C,3,FALSE),"")="Carry",IFERROR(VLOOKUP($A33,Heroes!$A:$C,3,FALSE),"")="Off-Carry"),2,IF(IFERROR(VLOOKUP($A33,Heroes!$A:$C,3,FALSE),"")="Hybrid",1,0))</f>
        <v/>
      </c>
      <c r="E33">
        <f>COUNTIFS('Ability Tags'!$A$2:$A$153,$A33,'Ability Tags'!$D$2:$D$153,"Utility")+IF(OR(IFERROR(VLOOKUP($A33,Heroes!$A:$C,3,FALSE),"")="Support",IFERROR(VLOOKUP($A33,Heroes!$A:$C,3,FALSE),"")="Comfort"),2,IF(IFERROR(VLOOKUP($A33,Heroes!$A:$C,3,FALSE),"")="Hybrid",2,0))</f>
        <v/>
      </c>
      <c r="F33">
        <f>COUNTIFS('Ability Tags'!$A$2:$A$153,$A33,'Ability Tags'!$C$2:$C$153,"Engage")</f>
        <v/>
      </c>
      <c r="G33">
        <f>COUNTIFS('Ability Tags'!$A$2:$A$153,$A33,'Ability Tags'!$C$2:$C$153,"Sustain")</f>
        <v/>
      </c>
      <c r="H33">
        <f>CHOOSE(MATCH(MAX(B33:E33),B33:E33,0),"Tank","Pick","Damage","Utility")</f>
        <v/>
      </c>
    </row>
    <row r="34">
      <c r="A34" t="inlineStr">
        <is>
          <t>Vindicta</t>
        </is>
      </c>
      <c r="B34">
        <f>COUNTIFS('Ability Tags'!$A$2:$A$153,$A34,'Ability Tags'!$D$2:$D$153,"Tank")+IF(IFERROR(VLOOKUP($A34,Heroes!$A:$C,3,FALSE),"")="Tank",2,IF(IFERROR(VLOOKUP($A34,Heroes!$A:$C,3,FALSE),"")="Hybrid",1,0))</f>
        <v/>
      </c>
      <c r="C34">
        <f>COUNTIFS('Ability Tags'!$A$2:$A$153,$A34,'Ability Tags'!$D$2:$D$153,"Pick")+IF(IFERROR(VLOOKUP($A34,Heroes!$A:$C,3,FALSE),"")="Initiator/Catch",2,0)</f>
        <v/>
      </c>
      <c r="D34">
        <f>COUNTIFS('Ability Tags'!$A$2:$A$153,$A34,'Ability Tags'!$D$2:$D$153,"Damage")+IF(OR(IFERROR(VLOOKUP($A34,Heroes!$A:$C,3,FALSE),"")="Carry",IFERROR(VLOOKUP($A34,Heroes!$A:$C,3,FALSE),"")="Off-Carry"),2,IF(IFERROR(VLOOKUP($A34,Heroes!$A:$C,3,FALSE),"")="Hybrid",1,0))</f>
        <v/>
      </c>
      <c r="E34">
        <f>COUNTIFS('Ability Tags'!$A$2:$A$153,$A34,'Ability Tags'!$D$2:$D$153,"Utility")+IF(OR(IFERROR(VLOOKUP($A34,Heroes!$A:$C,3,FALSE),"")="Support",IFERROR(VLOOKUP($A34,Heroes!$A:$C,3,FALSE),"")="Comfort"),2,IF(IFERROR(VLOOKUP($A34,Heroes!$A:$C,3,FALSE),"")="Hybrid",2,0))</f>
        <v/>
      </c>
      <c r="F34">
        <f>COUNTIFS('Ability Tags'!$A$2:$A$153,$A34,'Ability Tags'!$C$2:$C$153,"Engage")</f>
        <v/>
      </c>
      <c r="G34">
        <f>COUNTIFS('Ability Tags'!$A$2:$A$153,$A34,'Ability Tags'!$C$2:$C$153,"Sustain")</f>
        <v/>
      </c>
      <c r="H34">
        <f>CHOOSE(MATCH(MAX(B34:E34),B34:E34,0),"Tank","Pick","Damage","Utility")</f>
        <v/>
      </c>
    </row>
    <row r="35">
      <c r="A35" t="inlineStr">
        <is>
          <t>Viscous</t>
        </is>
      </c>
      <c r="B35">
        <f>COUNTIFS('Ability Tags'!$A$2:$A$153,$A35,'Ability Tags'!$D$2:$D$153,"Tank")+IF(IFERROR(VLOOKUP($A35,Heroes!$A:$C,3,FALSE),"")="Tank",2,IF(IFERROR(VLOOKUP($A35,Heroes!$A:$C,3,FALSE),"")="Hybrid",1,0))</f>
        <v/>
      </c>
      <c r="C35">
        <f>COUNTIFS('Ability Tags'!$A$2:$A$153,$A35,'Ability Tags'!$D$2:$D$153,"Pick")+IF(IFERROR(VLOOKUP($A35,Heroes!$A:$C,3,FALSE),"")="Initiator/Catch",2,0)</f>
        <v/>
      </c>
      <c r="D35">
        <f>COUNTIFS('Ability Tags'!$A$2:$A$153,$A35,'Ability Tags'!$D$2:$D$153,"Damage")+IF(OR(IFERROR(VLOOKUP($A35,Heroes!$A:$C,3,FALSE),"")="Carry",IFERROR(VLOOKUP($A35,Heroes!$A:$C,3,FALSE),"")="Off-Carry"),2,IF(IFERROR(VLOOKUP($A35,Heroes!$A:$C,3,FALSE),"")="Hybrid",1,0))</f>
        <v/>
      </c>
      <c r="E35">
        <f>COUNTIFS('Ability Tags'!$A$2:$A$153,$A35,'Ability Tags'!$D$2:$D$153,"Utility")+IF(OR(IFERROR(VLOOKUP($A35,Heroes!$A:$C,3,FALSE),"")="Support",IFERROR(VLOOKUP($A35,Heroes!$A:$C,3,FALSE),"")="Comfort"),2,IF(IFERROR(VLOOKUP($A35,Heroes!$A:$C,3,FALSE),"")="Hybrid",2,0))</f>
        <v/>
      </c>
      <c r="F35">
        <f>COUNTIFS('Ability Tags'!$A$2:$A$153,$A35,'Ability Tags'!$C$2:$C$153,"Engage")</f>
        <v/>
      </c>
      <c r="G35">
        <f>COUNTIFS('Ability Tags'!$A$2:$A$153,$A35,'Ability Tags'!$C$2:$C$153,"Sustain")</f>
        <v/>
      </c>
      <c r="H35">
        <f>CHOOSE(MATCH(MAX(B35:E35),B35:E35,0),"Tank","Pick","Damage","Utility")</f>
        <v/>
      </c>
    </row>
    <row r="36">
      <c r="A36" t="inlineStr">
        <is>
          <t>Vyper</t>
        </is>
      </c>
      <c r="B36">
        <f>COUNTIFS('Ability Tags'!$A$2:$A$153,$A36,'Ability Tags'!$D$2:$D$153,"Tank")+IF(IFERROR(VLOOKUP($A36,Heroes!$A:$C,3,FALSE),"")="Tank",2,IF(IFERROR(VLOOKUP($A36,Heroes!$A:$C,3,FALSE),"")="Hybrid",1,0))</f>
        <v/>
      </c>
      <c r="C36">
        <f>COUNTIFS('Ability Tags'!$A$2:$A$153,$A36,'Ability Tags'!$D$2:$D$153,"Pick")+IF(IFERROR(VLOOKUP($A36,Heroes!$A:$C,3,FALSE),"")="Initiator/Catch",2,0)</f>
        <v/>
      </c>
      <c r="D36">
        <f>COUNTIFS('Ability Tags'!$A$2:$A$153,$A36,'Ability Tags'!$D$2:$D$153,"Damage")+IF(OR(IFERROR(VLOOKUP($A36,Heroes!$A:$C,3,FALSE),"")="Carry",IFERROR(VLOOKUP($A36,Heroes!$A:$C,3,FALSE),"")="Off-Carry"),2,IF(IFERROR(VLOOKUP($A36,Heroes!$A:$C,3,FALSE),"")="Hybrid",1,0))</f>
        <v/>
      </c>
      <c r="E36">
        <f>COUNTIFS('Ability Tags'!$A$2:$A$153,$A36,'Ability Tags'!$D$2:$D$153,"Utility")+IF(OR(IFERROR(VLOOKUP($A36,Heroes!$A:$C,3,FALSE),"")="Support",IFERROR(VLOOKUP($A36,Heroes!$A:$C,3,FALSE),"")="Comfort"),2,IF(IFERROR(VLOOKUP($A36,Heroes!$A:$C,3,FALSE),"")="Hybrid",2,0))</f>
        <v/>
      </c>
      <c r="F36">
        <f>COUNTIFS('Ability Tags'!$A$2:$A$153,$A36,'Ability Tags'!$C$2:$C$153,"Engage")</f>
        <v/>
      </c>
      <c r="G36">
        <f>COUNTIFS('Ability Tags'!$A$2:$A$153,$A36,'Ability Tags'!$C$2:$C$153,"Sustain")</f>
        <v/>
      </c>
      <c r="H36">
        <f>CHOOSE(MATCH(MAX(B36:E36),B36:E36,0),"Tank","Pick","Damage","Utility")</f>
        <v/>
      </c>
    </row>
    <row r="37">
      <c r="A37" t="inlineStr">
        <is>
          <t>Warden</t>
        </is>
      </c>
      <c r="B37">
        <f>COUNTIFS('Ability Tags'!$A$2:$A$153,$A37,'Ability Tags'!$D$2:$D$153,"Tank")+IF(IFERROR(VLOOKUP($A37,Heroes!$A:$C,3,FALSE),"")="Tank",2,IF(IFERROR(VLOOKUP($A37,Heroes!$A:$C,3,FALSE),"")="Hybrid",1,0))</f>
        <v/>
      </c>
      <c r="C37">
        <f>COUNTIFS('Ability Tags'!$A$2:$A$153,$A37,'Ability Tags'!$D$2:$D$153,"Pick")+IF(IFERROR(VLOOKUP($A37,Heroes!$A:$C,3,FALSE),"")="Initiator/Catch",2,0)</f>
        <v/>
      </c>
      <c r="D37">
        <f>COUNTIFS('Ability Tags'!$A$2:$A$153,$A37,'Ability Tags'!$D$2:$D$153,"Damage")+IF(OR(IFERROR(VLOOKUP($A37,Heroes!$A:$C,3,FALSE),"")="Carry",IFERROR(VLOOKUP($A37,Heroes!$A:$C,3,FALSE),"")="Off-Carry"),2,IF(IFERROR(VLOOKUP($A37,Heroes!$A:$C,3,FALSE),"")="Hybrid",1,0))</f>
        <v/>
      </c>
      <c r="E37">
        <f>COUNTIFS('Ability Tags'!$A$2:$A$153,$A37,'Ability Tags'!$D$2:$D$153,"Utility")+IF(OR(IFERROR(VLOOKUP($A37,Heroes!$A:$C,3,FALSE),"")="Support",IFERROR(VLOOKUP($A37,Heroes!$A:$C,3,FALSE),"")="Comfort"),2,IF(IFERROR(VLOOKUP($A37,Heroes!$A:$C,3,FALSE),"")="Hybrid",2,0))</f>
        <v/>
      </c>
      <c r="F37">
        <f>COUNTIFS('Ability Tags'!$A$2:$A$153,$A37,'Ability Tags'!$C$2:$C$153,"Engage")</f>
        <v/>
      </c>
      <c r="G37">
        <f>COUNTIFS('Ability Tags'!$A$2:$A$153,$A37,'Ability Tags'!$C$2:$C$153,"Sustain")</f>
        <v/>
      </c>
      <c r="H37">
        <f>CHOOSE(MATCH(MAX(B37:E37),B37:E37,0),"Tank","Pick","Damage","Utility")</f>
        <v/>
      </c>
    </row>
    <row r="38">
      <c r="A38" t="inlineStr">
        <is>
          <t>Wraith</t>
        </is>
      </c>
      <c r="B38">
        <f>COUNTIFS('Ability Tags'!$A$2:$A$153,$A38,'Ability Tags'!$D$2:$D$153,"Tank")+IF(IFERROR(VLOOKUP($A38,Heroes!$A:$C,3,FALSE),"")="Tank",2,IF(IFERROR(VLOOKUP($A38,Heroes!$A:$C,3,FALSE),"")="Hybrid",1,0))</f>
        <v/>
      </c>
      <c r="C38">
        <f>COUNTIFS('Ability Tags'!$A$2:$A$153,$A38,'Ability Tags'!$D$2:$D$153,"Pick")+IF(IFERROR(VLOOKUP($A38,Heroes!$A:$C,3,FALSE),"")="Initiator/Catch",2,0)</f>
        <v/>
      </c>
      <c r="D38">
        <f>COUNTIFS('Ability Tags'!$A$2:$A$153,$A38,'Ability Tags'!$D$2:$D$153,"Damage")+IF(OR(IFERROR(VLOOKUP($A38,Heroes!$A:$C,3,FALSE),"")="Carry",IFERROR(VLOOKUP($A38,Heroes!$A:$C,3,FALSE),"")="Off-Carry"),2,IF(IFERROR(VLOOKUP($A38,Heroes!$A:$C,3,FALSE),"")="Hybrid",1,0))</f>
        <v/>
      </c>
      <c r="E38">
        <f>COUNTIFS('Ability Tags'!$A$2:$A$153,$A38,'Ability Tags'!$D$2:$D$153,"Utility")+IF(OR(IFERROR(VLOOKUP($A38,Heroes!$A:$C,3,FALSE),"")="Support",IFERROR(VLOOKUP($A38,Heroes!$A:$C,3,FALSE),"")="Comfort"),2,IF(IFERROR(VLOOKUP($A38,Heroes!$A:$C,3,FALSE),"")="Hybrid",2,0))</f>
        <v/>
      </c>
      <c r="F38">
        <f>COUNTIFS('Ability Tags'!$A$2:$A$153,$A38,'Ability Tags'!$C$2:$C$153,"Engage")</f>
        <v/>
      </c>
      <c r="G38">
        <f>COUNTIFS('Ability Tags'!$A$2:$A$153,$A38,'Ability Tags'!$C$2:$C$153,"Sustain")</f>
        <v/>
      </c>
      <c r="H38">
        <f>CHOOSE(MATCH(MAX(B38:E38),B38:E38,0),"Tank","Pick","Damage","Utility")</f>
        <v/>
      </c>
    </row>
    <row r="39">
      <c r="A39" t="inlineStr">
        <is>
          <t>Yamato</t>
        </is>
      </c>
      <c r="B39">
        <f>COUNTIFS('Ability Tags'!$A$2:$A$153,$A39,'Ability Tags'!$D$2:$D$153,"Tank")+IF(IFERROR(VLOOKUP($A39,Heroes!$A:$C,3,FALSE),"")="Tank",2,IF(IFERROR(VLOOKUP($A39,Heroes!$A:$C,3,FALSE),"")="Hybrid",1,0))</f>
        <v/>
      </c>
      <c r="C39">
        <f>COUNTIFS('Ability Tags'!$A$2:$A$153,$A39,'Ability Tags'!$D$2:$D$153,"Pick")+IF(IFERROR(VLOOKUP($A39,Heroes!$A:$C,3,FALSE),"")="Initiator/Catch",2,0)</f>
        <v/>
      </c>
      <c r="D39">
        <f>COUNTIFS('Ability Tags'!$A$2:$A$153,$A39,'Ability Tags'!$D$2:$D$153,"Damage")+IF(OR(IFERROR(VLOOKUP($A39,Heroes!$A:$C,3,FALSE),"")="Carry",IFERROR(VLOOKUP($A39,Heroes!$A:$C,3,FALSE),"")="Off-Carry"),2,IF(IFERROR(VLOOKUP($A39,Heroes!$A:$C,3,FALSE),"")="Hybrid",1,0))</f>
        <v/>
      </c>
      <c r="E39">
        <f>COUNTIFS('Ability Tags'!$A$2:$A$153,$A39,'Ability Tags'!$D$2:$D$153,"Utility")+IF(OR(IFERROR(VLOOKUP($A39,Heroes!$A:$C,3,FALSE),"")="Support",IFERROR(VLOOKUP($A39,Heroes!$A:$C,3,FALSE),"")="Comfort"),2,IF(IFERROR(VLOOKUP($A39,Heroes!$A:$C,3,FALSE),"")="Hybrid",2,0))</f>
        <v/>
      </c>
      <c r="F39">
        <f>COUNTIFS('Ability Tags'!$A$2:$A$153,$A39,'Ability Tags'!$C$2:$C$153,"Engage")</f>
        <v/>
      </c>
      <c r="G39">
        <f>COUNTIFS('Ability Tags'!$A$2:$A$153,$A39,'Ability Tags'!$C$2:$C$153,"Sustain")</f>
        <v/>
      </c>
      <c r="H39">
        <f>CHOOSE(MATCH(MAX(B39:E39),B39:E39,0),"Tank","Pick","Damage","Utility")</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2" customWidth="1" min="8" max="8"/>
    <col width="2" customWidth="1" min="9" max="9"/>
    <col width="42" customWidth="1" min="10" max="10"/>
    <col width="42" customWidth="1" min="11" max="11"/>
    <col width="42" customWidth="1" min="12" max="12"/>
    <col width="42" customWidth="1" min="13" max="13"/>
    <col width="42" customWidth="1" min="14" max="14"/>
    <col width="42" customWidth="1" min="15" max="15"/>
  </cols>
  <sheetData>
    <row r="1">
      <c r="A1" s="2" t="inlineStr">
        <is>
          <t>Baseline Role Pools</t>
        </is>
      </c>
      <c r="J1" s="2" t="inlineStr">
        <is>
          <t>Derived Coverage Pools</t>
        </is>
      </c>
    </row>
    <row r="2">
      <c r="A2" s="1" t="inlineStr">
        <is>
          <t>Carry</t>
        </is>
      </c>
      <c r="B2" s="1" t="inlineStr">
        <is>
          <t>Off-Carry</t>
        </is>
      </c>
      <c r="C2" s="1" t="inlineStr">
        <is>
          <t>Tank</t>
        </is>
      </c>
      <c r="D2" s="1" t="inlineStr">
        <is>
          <t>Initiator/Catch</t>
        </is>
      </c>
      <c r="E2" s="1" t="inlineStr">
        <is>
          <t>Support</t>
        </is>
      </c>
      <c r="F2" s="1" t="inlineStr">
        <is>
          <t>Hybrid</t>
        </is>
      </c>
      <c r="G2" s="1" t="inlineStr">
        <is>
          <t>Comfort</t>
        </is>
      </c>
      <c r="H2" s="1" t="n"/>
      <c r="I2" s="1" t="n"/>
      <c r="J2" s="1" t="inlineStr">
        <is>
          <t>Tank</t>
        </is>
      </c>
      <c r="K2" s="1" t="inlineStr">
        <is>
          <t>Pick</t>
        </is>
      </c>
      <c r="L2" s="1" t="inlineStr">
        <is>
          <t>Damage</t>
        </is>
      </c>
      <c r="M2" s="1" t="inlineStr">
        <is>
          <t>Utility</t>
        </is>
      </c>
      <c r="N2" s="1" t="inlineStr">
        <is>
          <t>Engage</t>
        </is>
      </c>
      <c r="O2" s="1" t="inlineStr">
        <is>
          <t>Sustain</t>
        </is>
      </c>
    </row>
    <row r="3">
      <c r="A3">
        <f>SORT(FILTER(Heroes!$A$2:$A$39,Heroes!$C$2:$C$39=A$2,""))</f>
        <v/>
      </c>
      <c r="B3">
        <f>SORT(FILTER(Heroes!$A$2:$A$39,Heroes!$C$2:$C$39=B$2,""))</f>
        <v/>
      </c>
      <c r="C3">
        <f>SORT(FILTER(Heroes!$A$2:$A$39,Heroes!$C$2:$C$39=C$2,""))</f>
        <v/>
      </c>
      <c r="D3">
        <f>SORT(FILTER(Heroes!$A$2:$A$39,Heroes!$C$2:$C$39=D$2,""))</f>
        <v/>
      </c>
      <c r="E3">
        <f>SORT(FILTER(Heroes!$A$2:$A$39,Heroes!$C$2:$C$39=E$2,""))</f>
        <v/>
      </c>
      <c r="F3">
        <f>SORT(FILTER(Heroes!$A$2:$A$39,Heroes!$C$2:$C$39=F$2,""))</f>
        <v/>
      </c>
      <c r="G3">
        <f>SORT(FILTER(Heroes!$A$2:$A$39,Heroes!$C$2:$C$39=G$2,""))</f>
        <v/>
      </c>
      <c r="J3">
        <f>SORT(FILTER('Role Output'!$A$2:$A$39,'Role Output'!$B$2:$B$39&gt;0,""))</f>
        <v/>
      </c>
      <c r="K3">
        <f>SORT(FILTER('Role Output'!$A$2:$A$39,'Role Output'!$C$2:$C$39&gt;0,""))</f>
        <v/>
      </c>
      <c r="L3">
        <f>SORT(FILTER('Role Output'!$A$2:$A$39,'Role Output'!$D$2:$D$39&gt;0,""))</f>
        <v/>
      </c>
      <c r="M3">
        <f>SORT(FILTER('Role Output'!$A$2:$A$39,'Role Output'!$E$2:$E$39&gt;0,""))</f>
        <v/>
      </c>
      <c r="N3">
        <f>SORT(FILTER('Role Output'!$A$2:$A$39,'Role Output'!$F$2:$F$39&gt;0,""))</f>
        <v/>
      </c>
      <c r="O3">
        <f>SORT(FILTER('Role Output'!$A$2:$A$39,'Role Output'!$G$2:$G$39&gt;0,""))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pane ySplit="2" topLeftCell="A3" activePane="bottomLeft" state="frozen"/>
      <selection pane="bottomLeft" activeCell="A1" sqref="A1"/>
    </sheetView>
  </sheetViews>
  <sheetFormatPr baseColWidth="8" defaultRowHeight="15"/>
  <cols>
    <col width="24" customWidth="1" min="1" max="1"/>
    <col width="6"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2" customWidth="1" min="11" max="11"/>
    <col width="27" customWidth="1" min="12" max="12"/>
    <col width="42" customWidth="1" min="13" max="13"/>
  </cols>
  <sheetData>
    <row r="1">
      <c r="A1" s="2" t="inlineStr">
        <is>
          <t>6-Player Draft Builder</t>
        </is>
      </c>
    </row>
    <row r="2">
      <c r="A2" s="1" t="inlineStr">
        <is>
          <t>Player</t>
        </is>
      </c>
      <c r="B2" s="1" t="inlineStr">
        <is>
          <t>Hero</t>
        </is>
      </c>
      <c r="C2" s="1" t="inlineStr">
        <is>
          <t>Baseline Role</t>
        </is>
      </c>
      <c r="D2" s="1" t="inlineStr">
        <is>
          <t>Derived Role</t>
        </is>
      </c>
      <c r="E2" s="1" t="inlineStr">
        <is>
          <t>Tank</t>
        </is>
      </c>
      <c r="F2" s="1" t="inlineStr">
        <is>
          <t>Pick</t>
        </is>
      </c>
      <c r="G2" s="1" t="inlineStr">
        <is>
          <t>Damage</t>
        </is>
      </c>
      <c r="H2" s="1" t="inlineStr">
        <is>
          <t>Utility</t>
        </is>
      </c>
      <c r="I2" s="1" t="inlineStr">
        <is>
          <t>Engage</t>
        </is>
      </c>
      <c r="J2" s="1" t="inlineStr">
        <is>
          <t>Sustain</t>
        </is>
      </c>
      <c r="L2" s="3" t="inlineStr">
        <is>
          <t>Lineup Summary</t>
        </is>
      </c>
    </row>
    <row r="3">
      <c r="A3" t="inlineStr">
        <is>
          <t>Player 1</t>
        </is>
      </c>
      <c r="C3">
        <f>IF($B3="","",IFERROR(VLOOKUP($B3,Heroes!$A$2:$C$39,3,FALSE),""))</f>
        <v/>
      </c>
      <c r="D3">
        <f>IF($B3="","",IFERROR(VLOOKUP($B3,'Role Output'!$A$2:$H$39,8,FALSE),""))</f>
        <v/>
      </c>
      <c r="E3">
        <f>IF($B3="","",IFERROR(VLOOKUP($B3,'Role Output'!$A$2:$H$39,2,FALSE),0))</f>
        <v/>
      </c>
      <c r="F3">
        <f>IF($B3="","",IFERROR(VLOOKUP($B3,'Role Output'!$A$2:$H$39,3,FALSE),0))</f>
        <v/>
      </c>
      <c r="G3">
        <f>IF($B3="","",IFERROR(VLOOKUP($B3,'Role Output'!$A$2:$H$39,4,FALSE),0))</f>
        <v/>
      </c>
      <c r="H3">
        <f>IF($B3="","",IFERROR(VLOOKUP($B3,'Role Output'!$A$2:$H$39,5,FALSE),0))</f>
        <v/>
      </c>
      <c r="I3">
        <f>IF($B3="","",IFERROR(VLOOKUP($B3,'Role Output'!$A$2:$H$39,6,FALSE),0))</f>
        <v/>
      </c>
      <c r="J3">
        <f>IF($B3="","",IFERROR(VLOOKUP($B3,'Role Output'!$A$2:$H$39,7,FALSE),0))</f>
        <v/>
      </c>
      <c r="L3" t="inlineStr">
        <is>
          <t>Total Tank</t>
        </is>
      </c>
      <c r="M3">
        <f>SUM(E3:E8)</f>
        <v/>
      </c>
    </row>
    <row r="4">
      <c r="A4" t="inlineStr">
        <is>
          <t>Player 2</t>
        </is>
      </c>
      <c r="C4">
        <f>IF($B4="","",IFERROR(VLOOKUP($B4,Heroes!$A$2:$C$39,3,FALSE),""))</f>
        <v/>
      </c>
      <c r="D4">
        <f>IF($B4="","",IFERROR(VLOOKUP($B4,'Role Output'!$A$2:$H$39,8,FALSE),""))</f>
        <v/>
      </c>
      <c r="E4">
        <f>IF($B4="","",IFERROR(VLOOKUP($B4,'Role Output'!$A$2:$H$39,2,FALSE),0))</f>
        <v/>
      </c>
      <c r="F4">
        <f>IF($B4="","",IFERROR(VLOOKUP($B4,'Role Output'!$A$2:$H$39,3,FALSE),0))</f>
        <v/>
      </c>
      <c r="G4">
        <f>IF($B4="","",IFERROR(VLOOKUP($B4,'Role Output'!$A$2:$H$39,4,FALSE),0))</f>
        <v/>
      </c>
      <c r="H4">
        <f>IF($B4="","",IFERROR(VLOOKUP($B4,'Role Output'!$A$2:$H$39,5,FALSE),0))</f>
        <v/>
      </c>
      <c r="I4">
        <f>IF($B4="","",IFERROR(VLOOKUP($B4,'Role Output'!$A$2:$H$39,6,FALSE),0))</f>
        <v/>
      </c>
      <c r="J4">
        <f>IF($B4="","",IFERROR(VLOOKUP($B4,'Role Output'!$A$2:$H$39,7,FALSE),0))</f>
        <v/>
      </c>
      <c r="L4" t="inlineStr">
        <is>
          <t>Total Pick</t>
        </is>
      </c>
      <c r="M4">
        <f>SUM(F3:F8)</f>
        <v/>
      </c>
    </row>
    <row r="5">
      <c r="A5" t="inlineStr">
        <is>
          <t>Player 3</t>
        </is>
      </c>
      <c r="C5">
        <f>IF($B5="","",IFERROR(VLOOKUP($B5,Heroes!$A$2:$C$39,3,FALSE),""))</f>
        <v/>
      </c>
      <c r="D5">
        <f>IF($B5="","",IFERROR(VLOOKUP($B5,'Role Output'!$A$2:$H$39,8,FALSE),""))</f>
        <v/>
      </c>
      <c r="E5">
        <f>IF($B5="","",IFERROR(VLOOKUP($B5,'Role Output'!$A$2:$H$39,2,FALSE),0))</f>
        <v/>
      </c>
      <c r="F5">
        <f>IF($B5="","",IFERROR(VLOOKUP($B5,'Role Output'!$A$2:$H$39,3,FALSE),0))</f>
        <v/>
      </c>
      <c r="G5">
        <f>IF($B5="","",IFERROR(VLOOKUP($B5,'Role Output'!$A$2:$H$39,4,FALSE),0))</f>
        <v/>
      </c>
      <c r="H5">
        <f>IF($B5="","",IFERROR(VLOOKUP($B5,'Role Output'!$A$2:$H$39,5,FALSE),0))</f>
        <v/>
      </c>
      <c r="I5">
        <f>IF($B5="","",IFERROR(VLOOKUP($B5,'Role Output'!$A$2:$H$39,6,FALSE),0))</f>
        <v/>
      </c>
      <c r="J5">
        <f>IF($B5="","",IFERROR(VLOOKUP($B5,'Role Output'!$A$2:$H$39,7,FALSE),0))</f>
        <v/>
      </c>
      <c r="L5" t="inlineStr">
        <is>
          <t>Total Damage</t>
        </is>
      </c>
      <c r="M5">
        <f>SUM(G3:G8)</f>
        <v/>
      </c>
    </row>
    <row r="6">
      <c r="A6" t="inlineStr">
        <is>
          <t>Player 4</t>
        </is>
      </c>
      <c r="C6">
        <f>IF($B6="","",IFERROR(VLOOKUP($B6,Heroes!$A$2:$C$39,3,FALSE),""))</f>
        <v/>
      </c>
      <c r="D6">
        <f>IF($B6="","",IFERROR(VLOOKUP($B6,'Role Output'!$A$2:$H$39,8,FALSE),""))</f>
        <v/>
      </c>
      <c r="E6">
        <f>IF($B6="","",IFERROR(VLOOKUP($B6,'Role Output'!$A$2:$H$39,2,FALSE),0))</f>
        <v/>
      </c>
      <c r="F6">
        <f>IF($B6="","",IFERROR(VLOOKUP($B6,'Role Output'!$A$2:$H$39,3,FALSE),0))</f>
        <v/>
      </c>
      <c r="G6">
        <f>IF($B6="","",IFERROR(VLOOKUP($B6,'Role Output'!$A$2:$H$39,4,FALSE),0))</f>
        <v/>
      </c>
      <c r="H6">
        <f>IF($B6="","",IFERROR(VLOOKUP($B6,'Role Output'!$A$2:$H$39,5,FALSE),0))</f>
        <v/>
      </c>
      <c r="I6">
        <f>IF($B6="","",IFERROR(VLOOKUP($B6,'Role Output'!$A$2:$H$39,6,FALSE),0))</f>
        <v/>
      </c>
      <c r="J6">
        <f>IF($B6="","",IFERROR(VLOOKUP($B6,'Role Output'!$A$2:$H$39,7,FALSE),0))</f>
        <v/>
      </c>
      <c r="L6" t="inlineStr">
        <is>
          <t>Total Utility</t>
        </is>
      </c>
      <c r="M6">
        <f>SUM(H3:H8)</f>
        <v/>
      </c>
    </row>
    <row r="7">
      <c r="A7" t="inlineStr">
        <is>
          <t>Player 5</t>
        </is>
      </c>
      <c r="C7">
        <f>IF($B7="","",IFERROR(VLOOKUP($B7,Heroes!$A$2:$C$39,3,FALSE),""))</f>
        <v/>
      </c>
      <c r="D7">
        <f>IF($B7="","",IFERROR(VLOOKUP($B7,'Role Output'!$A$2:$H$39,8,FALSE),""))</f>
        <v/>
      </c>
      <c r="E7">
        <f>IF($B7="","",IFERROR(VLOOKUP($B7,'Role Output'!$A$2:$H$39,2,FALSE),0))</f>
        <v/>
      </c>
      <c r="F7">
        <f>IF($B7="","",IFERROR(VLOOKUP($B7,'Role Output'!$A$2:$H$39,3,FALSE),0))</f>
        <v/>
      </c>
      <c r="G7">
        <f>IF($B7="","",IFERROR(VLOOKUP($B7,'Role Output'!$A$2:$H$39,4,FALSE),0))</f>
        <v/>
      </c>
      <c r="H7">
        <f>IF($B7="","",IFERROR(VLOOKUP($B7,'Role Output'!$A$2:$H$39,5,FALSE),0))</f>
        <v/>
      </c>
      <c r="I7">
        <f>IF($B7="","",IFERROR(VLOOKUP($B7,'Role Output'!$A$2:$H$39,6,FALSE),0))</f>
        <v/>
      </c>
      <c r="J7">
        <f>IF($B7="","",IFERROR(VLOOKUP($B7,'Role Output'!$A$2:$H$39,7,FALSE),0))</f>
        <v/>
      </c>
      <c r="L7" t="inlineStr">
        <is>
          <t>Total Engage</t>
        </is>
      </c>
      <c r="M7">
        <f>SUM(I3:I8)</f>
        <v/>
      </c>
    </row>
    <row r="8">
      <c r="A8" t="inlineStr">
        <is>
          <t>Player 6</t>
        </is>
      </c>
      <c r="C8">
        <f>IF($B8="","",IFERROR(VLOOKUP($B8,Heroes!$A$2:$C$39,3,FALSE),""))</f>
        <v/>
      </c>
      <c r="D8">
        <f>IF($B8="","",IFERROR(VLOOKUP($B8,'Role Output'!$A$2:$H$39,8,FALSE),""))</f>
        <v/>
      </c>
      <c r="E8">
        <f>IF($B8="","",IFERROR(VLOOKUP($B8,'Role Output'!$A$2:$H$39,2,FALSE),0))</f>
        <v/>
      </c>
      <c r="F8">
        <f>IF($B8="","",IFERROR(VLOOKUP($B8,'Role Output'!$A$2:$H$39,3,FALSE),0))</f>
        <v/>
      </c>
      <c r="G8">
        <f>IF($B8="","",IFERROR(VLOOKUP($B8,'Role Output'!$A$2:$H$39,4,FALSE),0))</f>
        <v/>
      </c>
      <c r="H8">
        <f>IF($B8="","",IFERROR(VLOOKUP($B8,'Role Output'!$A$2:$H$39,5,FALSE),0))</f>
        <v/>
      </c>
      <c r="I8">
        <f>IF($B8="","",IFERROR(VLOOKUP($B8,'Role Output'!$A$2:$H$39,6,FALSE),0))</f>
        <v/>
      </c>
      <c r="J8">
        <f>IF($B8="","",IFERROR(VLOOKUP($B8,'Role Output'!$A$2:$H$39,7,FALSE),0))</f>
        <v/>
      </c>
      <c r="L8" t="inlineStr">
        <is>
          <t>Total Sustain</t>
        </is>
      </c>
      <c r="M8">
        <f>SUM(J3:J8)</f>
        <v/>
      </c>
    </row>
    <row r="9">
      <c r="L9" t="inlineStr">
        <is>
          <t>Core Roles Covered?</t>
        </is>
      </c>
      <c r="M9">
        <f>IF(MIN(M3:M6)&gt;0,"YES","NO")</f>
        <v/>
      </c>
    </row>
    <row r="10">
      <c r="L10" t="inlineStr">
        <is>
          <t>Engage + Sustain + Carry?</t>
        </is>
      </c>
      <c r="M10">
        <f>IF(AND(M7&gt;0,M8&gt;0,M5&gt;0),"YES","NO")</f>
        <v/>
      </c>
    </row>
    <row r="11">
      <c r="L11" t="inlineStr">
        <is>
          <t>Unique Heroes?</t>
        </is>
      </c>
      <c r="M11">
        <f>IF(COUNTA(B3:B8)=COUNTA(UNIQUE(FILTER(B3:B8,B3:B8&lt;&gt;""))),"YES","DUPLICATES")</f>
        <v/>
      </c>
    </row>
  </sheetData>
  <conditionalFormatting sqref="M9:M11">
    <cfRule type="cellIs" priority="1" operator="equal" dxfId="0">
      <formula>"YES"</formula>
    </cfRule>
    <cfRule type="cellIs" priority="2" operator="notEqual" dxfId="1">
      <formula>"YES"</formula>
    </cfRule>
  </conditionalFormatting>
  <dataValidations count="1">
    <dataValidation sqref="B3:B8" showDropDown="0" showInputMessage="0" showErrorMessage="0" allowBlank="1" type="list">
      <formula1>=Heroes!$A$2:$A$39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3" customWidth="1" min="1" max="1"/>
    <col width="42" customWidth="1" min="2" max="2"/>
  </cols>
  <sheetData>
    <row r="1">
      <c r="A1" s="1" t="inlineStr">
        <is>
          <t>Source</t>
        </is>
      </c>
      <c r="B1" s="1" t="inlineStr">
        <is>
          <t>Details</t>
        </is>
      </c>
    </row>
    <row r="2">
      <c r="A2" t="inlineStr">
        <is>
          <t>Dexerto Deadlock Wiki</t>
        </is>
      </c>
      <c r="B2" t="inlineStr">
        <is>
          <t>Current hero list and ability descriptions were scraped from Dexerto's Deadlock hero pages.</t>
        </is>
      </c>
    </row>
    <row r="3">
      <c r="A3" t="inlineStr">
        <is>
          <t>Steam guide</t>
        </is>
      </c>
      <c r="B3" t="inlineStr">
        <is>
          <t>The referenced Steam guide currently reflects the older 22-hero roster and was used as the original instruction source, but the workbook uses Dexerto so all 38 local roster entries can be filled.</t>
        </is>
      </c>
    </row>
    <row r="4">
      <c r="A4" t="inlineStr">
        <is>
          <t>Local role files</t>
        </is>
      </c>
      <c r="B4" t="inlineStr">
        <is>
          <t>Baseline roles and role definitions were loaded from excel/Character Roles.xlsx and excel/Deadlock Roles.xlsx.</t>
        </is>
      </c>
    </row>
    <row r="5">
      <c r="A5" t="inlineStr">
        <is>
          <t>Hypercarry</t>
        </is>
      </c>
      <c r="B5" t="inlineStr">
        <is>
          <t>Carry is a role that usually scale well into the late game which is usually done via items/level ups/souls , usually theyre shit early/mid game.</t>
        </is>
      </c>
    </row>
    <row r="6">
      <c r="A6" t="inlineStr">
        <is>
          <t>Pick/Initiator/Catch</t>
        </is>
      </c>
      <c r="B6" t="inlineStr">
        <is>
          <t>Initiators , We could debate about bebop but I think he is a Tank , I put haze in here because haze with invis can initiate a fight with sleep dart for example on their support.</t>
        </is>
      </c>
    </row>
    <row r="7">
      <c r="A7" t="inlineStr">
        <is>
          <t>Frontliner/Tank</t>
        </is>
      </c>
      <c r="B7" t="inlineStr">
        <is>
          <t>Tanks , inherintly strong no need massive souls early game and can get value earlier from fights with decent - good damage output.</t>
        </is>
      </c>
    </row>
    <row r="8">
      <c r="A8" t="inlineStr">
        <is>
          <t>Offcarry</t>
        </is>
      </c>
      <c r="B8" t="inlineStr">
        <is>
          <t>Role in between carry/support, the common thing about all of these characters is that they almost always have a decent laning stage and then they can deal quite a lot of damage, I put yama here even though some might see it as a tank mainly because typically yama has a better lane phase and can make stuff happen earlier</t>
        </is>
      </c>
    </row>
    <row r="9">
      <c r="A9" t="inlineStr">
        <is>
          <t>Support</t>
        </is>
      </c>
      <c r="B9" t="inlineStr">
        <is>
          <t>Support role is quite self explenatory , you can be poor as fuck ans still make impact , one might argue that mo is not , I put him here after watching how mo is played at the top of the game he can do it all while being poor as shit.</t>
        </is>
      </c>
    </row>
    <row r="10">
      <c r="A10" t="inlineStr">
        <is>
          <t>Spirit/Flex/Hybrid</t>
        </is>
      </c>
      <c r="B10" t="inlineStr">
        <is>
          <t>You can play them very DIFFERENTLY - can be a carry can be a tank can be support 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2026-03-13T19:35:22Z</dcterms:created>
  <dcterms:modified xmlns:dcterms="http://purl.org/dc/terms/" xmlns:xsi="http://www.w3.org/2001/XMLSchema-instance" xsi:type="dcterms:W3CDTF">2026-03-13T19:35:22Z</dcterms:modified>
</cp:coreProperties>
</file>